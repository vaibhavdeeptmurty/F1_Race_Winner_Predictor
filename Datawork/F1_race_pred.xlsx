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aibh\Desktop\F1\Datawork\"/>
    </mc:Choice>
  </mc:AlternateContent>
  <xr:revisionPtr revIDLastSave="0" documentId="13_ncr:1_{E72B8F75-43E9-468C-82EC-3AB386B6AF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Round Data" sheetId="4" r:id="rId2"/>
    <sheet name="train" sheetId="3" r:id="rId3"/>
    <sheet name="test" sheetId="5" r:id="rId4"/>
    <sheet name="code &amp; pos" sheetId="2" r:id="rId5"/>
  </sheets>
  <definedNames>
    <definedName name="_xlnm._FilterDatabase" localSheetId="0" hidden="1">data!$A$1:$AH$73</definedName>
    <definedName name="_xlnm._FilterDatabase" localSheetId="3" hidden="1">test!$A$1:$AC$9</definedName>
    <definedName name="_xlnm._FilterDatabase" localSheetId="2" hidden="1">train!$A$1:$AC$65</definedName>
    <definedName name="ExternalData_1" localSheetId="1" hidden="1">'Round Data'!$A$2:$F$24</definedName>
    <definedName name="ExternalData_10" localSheetId="1" hidden="1">'Round Data'!$I$106:$P$127</definedName>
    <definedName name="ExternalData_11" localSheetId="1" hidden="1">'Round Data'!$R$106:$Y$128</definedName>
    <definedName name="ExternalData_12" localSheetId="1" hidden="1">'Round Data'!$A$132:$F$154</definedName>
    <definedName name="ExternalData_13" localSheetId="1" hidden="1">'Round Data'!$I$132:$P$152</definedName>
    <definedName name="ExternalData_14" localSheetId="1" hidden="1">'Round Data'!$R$132:$Y$154</definedName>
    <definedName name="ExternalData_15" localSheetId="1" hidden="1">'Round Data'!$A$158:$F$180</definedName>
    <definedName name="ExternalData_16" localSheetId="1" hidden="1">'Round Data'!$I$158:$N$180</definedName>
    <definedName name="ExternalData_17" localSheetId="1" hidden="1">'Round Data'!$R$158:$W$180</definedName>
    <definedName name="ExternalData_18" localSheetId="1" hidden="1">'Round Data'!$A$183:$H$205</definedName>
    <definedName name="ExternalData_19" localSheetId="1" hidden="1">'Round Data'!$A$210:$F$231</definedName>
    <definedName name="ExternalData_2" localSheetId="1" hidden="1">'Round Data'!$A$28:$F$49</definedName>
    <definedName name="ExternalData_20" localSheetId="1" hidden="1">'Round Data'!$I$210:$N$232</definedName>
    <definedName name="ExternalData_21" localSheetId="1" hidden="1">'Round Data'!$R$210:$W$232</definedName>
    <definedName name="ExternalData_22" localSheetId="1" hidden="1">'Round Data'!$A$237:$H$259</definedName>
    <definedName name="ExternalData_23" localSheetId="1" hidden="1">'Round Data'!$A$263:$F$285</definedName>
    <definedName name="ExternalData_24" localSheetId="1" hidden="1">'Round Data'!$K$263:$P$285</definedName>
    <definedName name="ExternalData_25" localSheetId="1" hidden="1">'Round Data'!$T$263:$Y$285</definedName>
    <definedName name="ExternalData_26" localSheetId="1" hidden="1">'Round Data'!$A$288:$H$310</definedName>
    <definedName name="ExternalData_3" localSheetId="1" hidden="1">'Round Data'!$H$2:$P$25</definedName>
    <definedName name="ExternalData_4" localSheetId="1" hidden="1">'Round Data'!$R$2:$V$24</definedName>
    <definedName name="ExternalData_5" localSheetId="1" hidden="1">'Round Data'!$A$55:$F$77</definedName>
    <definedName name="ExternalData_6" localSheetId="1" hidden="1">'Round Data'!$H$55:$M$77</definedName>
    <definedName name="ExternalData_7" localSheetId="1" hidden="1">'Round Data'!$P$55:$U$77</definedName>
    <definedName name="ExternalData_8" localSheetId="1" hidden="1">'Round Data'!$A$80:$H$102</definedName>
    <definedName name="ExternalData_9" localSheetId="1" hidden="1">'Round Data'!$A$106:$F$128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2" i="1" l="1"/>
  <c r="Q73" i="1" s="1"/>
  <c r="Q70" i="1"/>
  <c r="Q71" i="1" s="1"/>
  <c r="Q68" i="1"/>
  <c r="Q69" i="1" s="1"/>
  <c r="Q66" i="1"/>
  <c r="Q67" i="1" s="1"/>
  <c r="O6" i="2"/>
  <c r="N6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N3" i="2"/>
  <c r="N4" i="2"/>
  <c r="N5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O3" i="2"/>
  <c r="O4" i="2"/>
  <c r="O5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" i="2"/>
  <c r="N2" i="2"/>
  <c r="L9" i="5"/>
  <c r="L7" i="5"/>
  <c r="L5" i="5"/>
  <c r="L3" i="5"/>
  <c r="L4" i="5"/>
  <c r="L6" i="5"/>
  <c r="L8" i="5"/>
  <c r="L2" i="5"/>
  <c r="H291" i="4"/>
  <c r="H292" i="4"/>
  <c r="H293" i="4"/>
  <c r="H294" i="4"/>
  <c r="H295" i="4"/>
  <c r="H296" i="4"/>
  <c r="H290" i="4"/>
  <c r="AB51" i="1"/>
  <c r="AB52" i="1"/>
  <c r="AB53" i="1"/>
  <c r="AB54" i="1"/>
  <c r="AB55" i="1"/>
  <c r="AB56" i="1"/>
  <c r="AB57" i="1"/>
  <c r="AC57" i="1"/>
  <c r="AC56" i="1"/>
  <c r="AC55" i="1"/>
  <c r="AC54" i="1"/>
  <c r="AC53" i="1"/>
  <c r="AC52" i="1"/>
  <c r="AC51" i="1"/>
  <c r="AG51" i="1"/>
  <c r="AG52" i="1"/>
  <c r="AG53" i="1"/>
  <c r="AG54" i="1"/>
  <c r="AG55" i="1"/>
  <c r="AG56" i="1"/>
  <c r="AG57" i="1"/>
  <c r="AG50" i="1"/>
  <c r="AC50" i="1"/>
  <c r="AB50" i="1"/>
  <c r="H240" i="4"/>
  <c r="H241" i="4"/>
  <c r="H242" i="4"/>
  <c r="H243" i="4"/>
  <c r="H244" i="4"/>
  <c r="H245" i="4"/>
  <c r="H238" i="4"/>
  <c r="H239" i="4"/>
  <c r="AG43" i="1"/>
  <c r="AG44" i="1"/>
  <c r="AG45" i="1"/>
  <c r="AG46" i="1"/>
  <c r="AG47" i="1"/>
  <c r="AG48" i="1"/>
  <c r="AG49" i="1"/>
  <c r="AC43" i="1"/>
  <c r="AC44" i="1"/>
  <c r="AC45" i="1"/>
  <c r="AC46" i="1"/>
  <c r="AC47" i="1"/>
  <c r="AC48" i="1"/>
  <c r="AC49" i="1"/>
  <c r="AB43" i="1"/>
  <c r="AB44" i="1"/>
  <c r="AB45" i="1"/>
  <c r="AB46" i="1"/>
  <c r="AB47" i="1"/>
  <c r="AB48" i="1"/>
  <c r="AB49" i="1"/>
  <c r="AA43" i="1"/>
  <c r="AA44" i="1"/>
  <c r="AA45" i="1"/>
  <c r="AA46" i="1"/>
  <c r="AA47" i="1"/>
  <c r="AA48" i="1"/>
  <c r="AA49" i="1"/>
  <c r="AG42" i="1"/>
  <c r="AC42" i="1"/>
  <c r="AB42" i="1"/>
  <c r="AA42" i="1"/>
  <c r="H186" i="4"/>
  <c r="H187" i="4"/>
  <c r="H188" i="4"/>
  <c r="H189" i="4"/>
  <c r="H190" i="4"/>
  <c r="H191" i="4"/>
  <c r="H185" i="4"/>
  <c r="H184" i="4"/>
  <c r="AA35" i="1"/>
  <c r="AA36" i="1"/>
  <c r="AA37" i="1"/>
  <c r="AA38" i="1"/>
  <c r="AA39" i="1"/>
  <c r="AA40" i="1"/>
  <c r="AA41" i="1"/>
  <c r="AA34" i="1"/>
  <c r="Y133" i="4"/>
  <c r="Y135" i="4"/>
  <c r="Y136" i="4"/>
  <c r="Y137" i="4"/>
  <c r="Y138" i="4"/>
  <c r="Y139" i="4"/>
  <c r="Y140" i="4"/>
  <c r="Y134" i="4"/>
  <c r="P134" i="4"/>
  <c r="P135" i="4"/>
  <c r="P136" i="4"/>
  <c r="P137" i="4"/>
  <c r="P138" i="4"/>
  <c r="P139" i="4"/>
  <c r="P140" i="4"/>
  <c r="P133" i="4"/>
  <c r="AG33" i="1"/>
  <c r="AA27" i="1"/>
  <c r="AA28" i="1"/>
  <c r="AA29" i="1"/>
  <c r="AA30" i="1"/>
  <c r="AA31" i="1"/>
  <c r="AA32" i="1"/>
  <c r="AA33" i="1"/>
  <c r="AA26" i="1"/>
  <c r="Y108" i="4"/>
  <c r="Y109" i="4"/>
  <c r="Y110" i="4"/>
  <c r="Y111" i="4"/>
  <c r="Y112" i="4"/>
  <c r="Y113" i="4"/>
  <c r="Y107" i="4"/>
  <c r="P108" i="4"/>
  <c r="P109" i="4"/>
  <c r="P110" i="4"/>
  <c r="P111" i="4"/>
  <c r="P112" i="4"/>
  <c r="P113" i="4"/>
  <c r="P114" i="4"/>
  <c r="P107" i="4"/>
  <c r="H87" i="4"/>
  <c r="H82" i="4"/>
  <c r="H83" i="4"/>
  <c r="H84" i="4"/>
  <c r="H85" i="4"/>
  <c r="H86" i="4"/>
  <c r="H88" i="4"/>
  <c r="H81" i="4"/>
  <c r="AC19" i="1"/>
  <c r="AC20" i="1"/>
  <c r="AC21" i="1"/>
  <c r="AC22" i="1"/>
  <c r="AC23" i="1"/>
  <c r="AC24" i="1"/>
  <c r="AC25" i="1"/>
  <c r="AC18" i="1"/>
  <c r="AB19" i="1"/>
  <c r="AB20" i="1"/>
  <c r="AB21" i="1"/>
  <c r="AB22" i="1"/>
  <c r="AB23" i="1"/>
  <c r="AB24" i="1"/>
  <c r="AB25" i="1"/>
  <c r="AB18" i="1"/>
  <c r="AA19" i="1"/>
  <c r="AA20" i="1"/>
  <c r="AA21" i="1"/>
  <c r="AA22" i="1"/>
  <c r="AA23" i="1"/>
  <c r="AA24" i="1"/>
  <c r="AA25" i="1"/>
  <c r="AA18" i="1"/>
  <c r="Z23" i="1"/>
  <c r="Z22" i="1"/>
  <c r="U57" i="1"/>
  <c r="T57" i="1"/>
  <c r="S64" i="1"/>
  <c r="S56" i="1"/>
  <c r="S48" i="1"/>
  <c r="S40" i="1"/>
  <c r="S32" i="1"/>
  <c r="S24" i="1"/>
  <c r="S16" i="1"/>
  <c r="R64" i="1"/>
  <c r="R56" i="1"/>
  <c r="R48" i="1"/>
  <c r="R40" i="1"/>
  <c r="R32" i="1"/>
  <c r="R24" i="1"/>
  <c r="R16" i="1"/>
  <c r="Q16" i="1"/>
  <c r="Q64" i="1"/>
  <c r="Q56" i="1"/>
  <c r="Q48" i="1"/>
  <c r="Q40" i="1"/>
  <c r="Q32" i="1"/>
  <c r="Q24" i="1"/>
  <c r="S10" i="1"/>
  <c r="AG2" i="1"/>
  <c r="O22" i="4"/>
  <c r="O17" i="4"/>
  <c r="O9" i="4"/>
  <c r="O23" i="4"/>
  <c r="O24" i="4"/>
  <c r="O21" i="4"/>
  <c r="O16" i="4"/>
  <c r="O18" i="4"/>
  <c r="O19" i="4"/>
  <c r="O20" i="4"/>
  <c r="O15" i="4"/>
  <c r="O12" i="4"/>
  <c r="O11" i="4"/>
  <c r="O6" i="4"/>
  <c r="O7" i="4"/>
  <c r="O8" i="4"/>
  <c r="O10" i="4"/>
  <c r="O13" i="4"/>
  <c r="O14" i="4"/>
  <c r="O5" i="4"/>
  <c r="O4" i="4"/>
  <c r="AC3" i="1"/>
  <c r="AC4" i="1"/>
  <c r="AC5" i="1"/>
  <c r="AC6" i="1"/>
  <c r="AC7" i="1"/>
  <c r="AC8" i="1"/>
  <c r="AC9" i="1"/>
  <c r="AC2" i="1"/>
  <c r="AB3" i="1"/>
  <c r="AB4" i="1"/>
  <c r="AB5" i="1"/>
  <c r="AB6" i="1"/>
  <c r="AB7" i="1"/>
  <c r="AB8" i="1"/>
  <c r="AB9" i="1"/>
  <c r="AB2" i="1"/>
  <c r="S62" i="1"/>
  <c r="S54" i="1"/>
  <c r="S46" i="1"/>
  <c r="S38" i="1"/>
  <c r="S30" i="1"/>
  <c r="S22" i="1"/>
  <c r="S14" i="1"/>
  <c r="R62" i="1"/>
  <c r="R54" i="1"/>
  <c r="R46" i="1"/>
  <c r="R38" i="1"/>
  <c r="R30" i="1"/>
  <c r="R22" i="1"/>
  <c r="R14" i="1"/>
  <c r="Q62" i="1"/>
  <c r="Q54" i="1"/>
  <c r="Q46" i="1"/>
  <c r="Q38" i="1"/>
  <c r="Q30" i="1"/>
  <c r="Q22" i="1"/>
  <c r="Q14" i="1"/>
  <c r="S28" i="1"/>
  <c r="S20" i="1"/>
  <c r="S60" i="1"/>
  <c r="S52" i="1"/>
  <c r="S44" i="1"/>
  <c r="S36" i="1"/>
  <c r="R60" i="1"/>
  <c r="R52" i="1"/>
  <c r="R44" i="1"/>
  <c r="R36" i="1"/>
  <c r="R28" i="1"/>
  <c r="R20" i="1"/>
  <c r="R12" i="1"/>
  <c r="S12" i="1"/>
  <c r="R45" i="1"/>
  <c r="Q60" i="1"/>
  <c r="Q52" i="1"/>
  <c r="Q12" i="1"/>
  <c r="N20" i="1"/>
  <c r="Z19" i="1"/>
  <c r="S58" i="1"/>
  <c r="S50" i="1"/>
  <c r="S42" i="1"/>
  <c r="S34" i="1"/>
  <c r="S26" i="1"/>
  <c r="S18" i="1"/>
  <c r="R58" i="1"/>
  <c r="R18" i="1"/>
  <c r="R50" i="1"/>
  <c r="R42" i="1"/>
  <c r="R34" i="1"/>
  <c r="R26" i="1"/>
  <c r="R10" i="1"/>
  <c r="Q58" i="1"/>
  <c r="Q50" i="1"/>
  <c r="Q42" i="1"/>
  <c r="Q34" i="1"/>
  <c r="Q26" i="1"/>
  <c r="Q18" i="1"/>
  <c r="Q10" i="1"/>
  <c r="AG35" i="1" l="1"/>
  <c r="AG36" i="1"/>
  <c r="AG37" i="1"/>
  <c r="AG38" i="1"/>
  <c r="AG39" i="1"/>
  <c r="AG40" i="1"/>
  <c r="AG41" i="1"/>
  <c r="AG34" i="1"/>
  <c r="AE35" i="1"/>
  <c r="AE36" i="1"/>
  <c r="AE37" i="1"/>
  <c r="AE38" i="1"/>
  <c r="AG27" i="1"/>
  <c r="AG30" i="1"/>
  <c r="AG31" i="1"/>
  <c r="AG32" i="1"/>
  <c r="AG26" i="1"/>
  <c r="AE28" i="1"/>
  <c r="AE30" i="1"/>
  <c r="AE33" i="1"/>
  <c r="AG19" i="1"/>
  <c r="AG22" i="1"/>
  <c r="AG23" i="1"/>
  <c r="AG25" i="1"/>
  <c r="AG4" i="1"/>
  <c r="AG6" i="1"/>
  <c r="AG8" i="1"/>
  <c r="AE39" i="1"/>
  <c r="AE40" i="1"/>
  <c r="AE41" i="1"/>
  <c r="AE34" i="1"/>
  <c r="AG28" i="1"/>
  <c r="AG29" i="1"/>
  <c r="AE27" i="1"/>
  <c r="AE29" i="1"/>
  <c r="AE31" i="1"/>
  <c r="AE32" i="1"/>
  <c r="AE26" i="1"/>
  <c r="AG20" i="1"/>
  <c r="AG21" i="1"/>
  <c r="AG24" i="1"/>
  <c r="AG18" i="1"/>
  <c r="AG3" i="1"/>
  <c r="AG5" i="1"/>
  <c r="AG7" i="1"/>
  <c r="AG9" i="1"/>
  <c r="Z31" i="1"/>
  <c r="Z39" i="1" s="1"/>
  <c r="Z47" i="1" s="1"/>
  <c r="Z55" i="1" s="1"/>
  <c r="Z63" i="1" s="1"/>
  <c r="Z30" i="1"/>
  <c r="Z38" i="1" s="1"/>
  <c r="Z46" i="1" s="1"/>
  <c r="Z54" i="1" s="1"/>
  <c r="Z62" i="1" s="1"/>
  <c r="Q25" i="1"/>
  <c r="R33" i="1"/>
  <c r="R25" i="1"/>
  <c r="R17" i="1"/>
  <c r="S65" i="1"/>
  <c r="R65" i="1"/>
  <c r="R49" i="1"/>
  <c r="Q65" i="1"/>
  <c r="Q57" i="1"/>
  <c r="Q49" i="1"/>
  <c r="Q41" i="1"/>
  <c r="S49" i="1"/>
  <c r="S25" i="1"/>
  <c r="S17" i="1"/>
  <c r="R57" i="1"/>
  <c r="S33" i="1"/>
  <c r="S41" i="1"/>
  <c r="R41" i="1"/>
  <c r="S57" i="1"/>
  <c r="Q17" i="1"/>
  <c r="Q33" i="1"/>
  <c r="R63" i="1"/>
  <c r="R55" i="1"/>
  <c r="R47" i="1"/>
  <c r="R39" i="1"/>
  <c r="R31" i="1"/>
  <c r="R23" i="1"/>
  <c r="R15" i="1"/>
  <c r="Q63" i="1"/>
  <c r="Q31" i="1"/>
  <c r="Q23" i="1"/>
  <c r="Q55" i="1"/>
  <c r="S63" i="1"/>
  <c r="S55" i="1"/>
  <c r="S47" i="1"/>
  <c r="S39" i="1"/>
  <c r="S31" i="1"/>
  <c r="S23" i="1"/>
  <c r="S15" i="1"/>
  <c r="Q47" i="1"/>
  <c r="Q39" i="1"/>
  <c r="Q15" i="1"/>
  <c r="S13" i="1"/>
  <c r="S45" i="1"/>
  <c r="S37" i="1"/>
  <c r="R53" i="1"/>
  <c r="S61" i="1"/>
  <c r="S29" i="1"/>
  <c r="S21" i="1"/>
  <c r="S53" i="1"/>
  <c r="R37" i="1"/>
  <c r="R21" i="1"/>
  <c r="R13" i="1"/>
  <c r="Q13" i="1"/>
  <c r="N28" i="1"/>
  <c r="Q61" i="1"/>
  <c r="Q53" i="1"/>
  <c r="Q20" i="1"/>
  <c r="Q21" i="1" s="1"/>
  <c r="R61" i="1"/>
  <c r="R29" i="1"/>
  <c r="Z27" i="1"/>
  <c r="S59" i="1"/>
  <c r="S51" i="1"/>
  <c r="S43" i="1"/>
  <c r="S35" i="1"/>
  <c r="S27" i="1"/>
  <c r="S19" i="1"/>
  <c r="S11" i="1"/>
  <c r="R43" i="1"/>
  <c r="R35" i="1"/>
  <c r="R27" i="1"/>
  <c r="R19" i="1"/>
  <c r="Q59" i="1"/>
  <c r="Q43" i="1"/>
  <c r="Q27" i="1"/>
  <c r="R51" i="1"/>
  <c r="R11" i="1"/>
  <c r="Q51" i="1"/>
  <c r="Q19" i="1"/>
  <c r="Q35" i="1"/>
  <c r="Q11" i="1"/>
  <c r="R59" i="1"/>
  <c r="Z35" i="1" l="1"/>
  <c r="Z43" i="1" s="1"/>
  <c r="Z51" i="1" s="1"/>
  <c r="Z59" i="1" s="1"/>
  <c r="Q28" i="1"/>
  <c r="Q29" i="1" s="1"/>
  <c r="N36" i="1"/>
  <c r="N44" i="1" l="1"/>
  <c r="Q44" i="1" s="1"/>
  <c r="Q45" i="1" s="1"/>
  <c r="Q36" i="1"/>
  <c r="Q3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2997B8-C667-46E7-A128-D10E7F758859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B3CFB185-DC25-430A-BFFA-53EC2E1657B6}" keepAlive="1" name="Query - Table 1 (10)" description="Connection to the 'Table 1 (10)' query in the workbook." type="5" refreshedVersion="8" background="1" saveData="1">
    <dbPr connection="Provider=Microsoft.Mashup.OleDb.1;Data Source=$Workbook$;Location=&quot;Table 1 (10)&quot;;Extended Properties=&quot;&quot;" command="SELECT * FROM [Table 1 (10)]"/>
  </connection>
  <connection id="3" xr16:uid="{41E61746-356B-48BE-B3A9-76767CDF13D8}" keepAlive="1" name="Query - Table 1 (11)" description="Connection to the 'Table 1 (11)' query in the workbook." type="5" refreshedVersion="8" background="1" saveData="1">
    <dbPr connection="Provider=Microsoft.Mashup.OleDb.1;Data Source=$Workbook$;Location=&quot;Table 1 (11)&quot;;Extended Properties=&quot;&quot;" command="SELECT * FROM [Table 1 (11)]"/>
  </connection>
  <connection id="4" xr16:uid="{C7A3BDE0-5831-4861-8069-0BC25871C537}" keepAlive="1" name="Query - Table 1 (12)" description="Connection to the 'Table 1 (12)' query in the workbook." type="5" refreshedVersion="8" background="1" saveData="1">
    <dbPr connection="Provider=Microsoft.Mashup.OleDb.1;Data Source=$Workbook$;Location=&quot;Table 1 (12)&quot;;Extended Properties=&quot;&quot;" command="SELECT * FROM [Table 1 (12)]"/>
  </connection>
  <connection id="5" xr16:uid="{6603D3F5-848F-482F-A52D-1923682526FC}" keepAlive="1" name="Query - Table 1 (13)" description="Connection to the 'Table 1 (13)' query in the workbook." type="5" refreshedVersion="8" background="1" saveData="1">
    <dbPr connection="Provider=Microsoft.Mashup.OleDb.1;Data Source=$Workbook$;Location=&quot;Table 1 (13)&quot;;Extended Properties=&quot;&quot;" command="SELECT * FROM [Table 1 (13)]"/>
  </connection>
  <connection id="6" xr16:uid="{B2384B88-5B7E-4BD7-BF73-F09430BE1026}" keepAlive="1" name="Query - Table 1 (14)" description="Connection to the 'Table 1 (14)' query in the workbook." type="5" refreshedVersion="8" background="1" saveData="1">
    <dbPr connection="Provider=Microsoft.Mashup.OleDb.1;Data Source=$Workbook$;Location=&quot;Table 1 (14)&quot;;Extended Properties=&quot;&quot;" command="SELECT * FROM [Table 1 (14)]"/>
  </connection>
  <connection id="7" xr16:uid="{FD408293-C96D-4113-AC32-6A71B5CE1CD6}" keepAlive="1" name="Query - Table 1 (15)" description="Connection to the 'Table 1 (15)' query in the workbook." type="5" refreshedVersion="8" background="1" saveData="1">
    <dbPr connection="Provider=Microsoft.Mashup.OleDb.1;Data Source=$Workbook$;Location=&quot;Table 1 (15)&quot;;Extended Properties=&quot;&quot;" command="SELECT * FROM [Table 1 (15)]"/>
  </connection>
  <connection id="8" xr16:uid="{363B2660-4A96-4E2C-AB86-1CD8D9E7E763}" keepAlive="1" name="Query - Table 1 (16)" description="Connection to the 'Table 1 (16)' query in the workbook." type="5" refreshedVersion="8" background="1" saveData="1">
    <dbPr connection="Provider=Microsoft.Mashup.OleDb.1;Data Source=$Workbook$;Location=&quot;Table 1 (16)&quot;;Extended Properties=&quot;&quot;" command="SELECT * FROM [Table 1 (16)]"/>
  </connection>
  <connection id="9" xr16:uid="{F0EC6F37-BE8F-411C-B5F4-4701F189FD87}" keepAlive="1" name="Query - Table 1 (17)" description="Connection to the 'Table 1 (17)' query in the workbook." type="5" refreshedVersion="8" background="1" saveData="1">
    <dbPr connection="Provider=Microsoft.Mashup.OleDb.1;Data Source=$Workbook$;Location=&quot;Table 1 (17)&quot;;Extended Properties=&quot;&quot;" command="SELECT * FROM [Table 1 (17)]"/>
  </connection>
  <connection id="10" xr16:uid="{6F9DEDD4-AF04-448A-82E4-EF323811C168}" keepAlive="1" name="Query - Table 1 (18)" description="Connection to the 'Table 1 (18)' query in the workbook." type="5" refreshedVersion="8" background="1" saveData="1">
    <dbPr connection="Provider=Microsoft.Mashup.OleDb.1;Data Source=$Workbook$;Location=&quot;Table 1 (18)&quot;;Extended Properties=&quot;&quot;" command="SELECT * FROM [Table 1 (18)]"/>
  </connection>
  <connection id="11" xr16:uid="{657BEB91-CEC6-401E-952E-DBEB025D3138}" keepAlive="1" name="Query - Table 1 (19)" description="Connection to the 'Table 1 (19)' query in the workbook." type="5" refreshedVersion="8" background="1" saveData="1">
    <dbPr connection="Provider=Microsoft.Mashup.OleDb.1;Data Source=$Workbook$;Location=&quot;Table 1 (19)&quot;;Extended Properties=&quot;&quot;" command="SELECT * FROM [Table 1 (19)]"/>
  </connection>
  <connection id="12" xr16:uid="{FC7354EC-F123-4245-936F-D900DF6BBF84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13" xr16:uid="{E215C19B-5828-4768-A474-D0DD0DFB7FCD}" keepAlive="1" name="Query - Table 1 (20)" description="Connection to the 'Table 1 (20)' query in the workbook." type="5" refreshedVersion="8" background="1" saveData="1">
    <dbPr connection="Provider=Microsoft.Mashup.OleDb.1;Data Source=$Workbook$;Location=&quot;Table 1 (20)&quot;;Extended Properties=&quot;&quot;" command="SELECT * FROM [Table 1 (20)]"/>
  </connection>
  <connection id="14" xr16:uid="{F37BF159-3A8F-4E12-9BD3-0E2EC5620077}" keepAlive="1" name="Query - Table 1 (21)" description="Connection to the 'Table 1 (21)' query in the workbook." type="5" refreshedVersion="8" background="1" saveData="1">
    <dbPr connection="Provider=Microsoft.Mashup.OleDb.1;Data Source=$Workbook$;Location=&quot;Table 1 (21)&quot;;Extended Properties=&quot;&quot;" command="SELECT * FROM [Table 1 (21)]"/>
  </connection>
  <connection id="15" xr16:uid="{775B367C-BA68-4383-A2B0-3DA2CD6C78F4}" keepAlive="1" name="Query - Table 1 (22)" description="Connection to the 'Table 1 (22)' query in the workbook." type="5" refreshedVersion="8" background="1" saveData="1">
    <dbPr connection="Provider=Microsoft.Mashup.OleDb.1;Data Source=$Workbook$;Location=&quot;Table 1 (22)&quot;;Extended Properties=&quot;&quot;" command="SELECT * FROM [Table 1 (22)]"/>
  </connection>
  <connection id="16" xr16:uid="{16266850-4503-4B82-B9BF-50C20BF4E5A5}" keepAlive="1" name="Query - Table 1 (23)" description="Connection to the 'Table 1 (23)' query in the workbook." type="5" refreshedVersion="8" background="1" saveData="1">
    <dbPr connection="Provider=Microsoft.Mashup.OleDb.1;Data Source=$Workbook$;Location=&quot;Table 1 (23)&quot;;Extended Properties=&quot;&quot;" command="SELECT * FROM [Table 1 (23)]"/>
  </connection>
  <connection id="17" xr16:uid="{D03E4005-791E-4766-BDC5-3F917058CF27}" keepAlive="1" name="Query - Table 1 (24)" description="Connection to the 'Table 1 (24)' query in the workbook." type="5" refreshedVersion="8" background="1" saveData="1">
    <dbPr connection="Provider=Microsoft.Mashup.OleDb.1;Data Source=$Workbook$;Location=&quot;Table 1 (24)&quot;;Extended Properties=&quot;&quot;" command="SELECT * FROM [Table 1 (24)]"/>
  </connection>
  <connection id="18" xr16:uid="{16FE3661-A8A1-498B-9C9F-3F3A9AEDE031}" keepAlive="1" name="Query - Table 1 (25)" description="Connection to the 'Table 1 (25)' query in the workbook." type="5" refreshedVersion="8" background="1" saveData="1">
    <dbPr connection="Provider=Microsoft.Mashup.OleDb.1;Data Source=$Workbook$;Location=&quot;Table 1 (25)&quot;;Extended Properties=&quot;&quot;" command="SELECT * FROM [Table 1 (25)]"/>
  </connection>
  <connection id="19" xr16:uid="{169CC970-7787-4F64-92EE-A36342EDAE7A}" keepAlive="1" name="Query - Table 1 (26)" description="Connection to the 'Table 1 (26)' query in the workbook." type="5" refreshedVersion="8" background="1" saveData="1">
    <dbPr connection="Provider=Microsoft.Mashup.OleDb.1;Data Source=$Workbook$;Location=&quot;Table 1 (26)&quot;;Extended Properties=&quot;&quot;" command="SELECT * FROM [Table 1 (26)]"/>
  </connection>
  <connection id="20" xr16:uid="{216CAC52-05B4-4A77-885F-0F7F5B067838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21" xr16:uid="{71852AD7-6CDA-49BB-9535-ED32B0027804}" keepAlive="1" name="Query - Table 1 (4)" description="Connection to the 'Table 1 (4)' query in the workbook." type="5" refreshedVersion="8" background="1" saveData="1">
    <dbPr connection="Provider=Microsoft.Mashup.OleDb.1;Data Source=$Workbook$;Location=&quot;Table 1 (4)&quot;;Extended Properties=&quot;&quot;" command="SELECT * FROM [Table 1 (4)]"/>
  </connection>
  <connection id="22" xr16:uid="{FAC155F0-418A-43B0-B63B-7474C89B601F}" keepAlive="1" name="Query - Table 1 (5)" description="Connection to the 'Table 1 (5)' query in the workbook." type="5" refreshedVersion="8" background="1" saveData="1">
    <dbPr connection="Provider=Microsoft.Mashup.OleDb.1;Data Source=$Workbook$;Location=&quot;Table 1 (5)&quot;;Extended Properties=&quot;&quot;" command="SELECT * FROM [Table 1 (5)]"/>
  </connection>
  <connection id="23" xr16:uid="{C6780275-E48A-48F6-84D1-719D60FDE4B4}" keepAlive="1" name="Query - Table 1 (6)" description="Connection to the 'Table 1 (6)' query in the workbook." type="5" refreshedVersion="8" background="1" saveData="1">
    <dbPr connection="Provider=Microsoft.Mashup.OleDb.1;Data Source=$Workbook$;Location=&quot;Table 1 (6)&quot;;Extended Properties=&quot;&quot;" command="SELECT * FROM [Table 1 (6)]"/>
  </connection>
  <connection id="24" xr16:uid="{689FEC43-65D9-471F-8E2B-560AACBF5D61}" keepAlive="1" name="Query - Table 1 (7)" description="Connection to the 'Table 1 (7)' query in the workbook." type="5" refreshedVersion="8" background="1" saveData="1">
    <dbPr connection="Provider=Microsoft.Mashup.OleDb.1;Data Source=$Workbook$;Location=&quot;Table 1 (7)&quot;;Extended Properties=&quot;&quot;" command="SELECT * FROM [Table 1 (7)]"/>
  </connection>
  <connection id="25" xr16:uid="{1B96BDFC-845E-42C8-BA5A-E93D098C1A04}" keepAlive="1" name="Query - Table 1 (8)" description="Connection to the 'Table 1 (8)' query in the workbook." type="5" refreshedVersion="8" background="1" saveData="1">
    <dbPr connection="Provider=Microsoft.Mashup.OleDb.1;Data Source=$Workbook$;Location=&quot;Table 1 (8)&quot;;Extended Properties=&quot;&quot;" command="SELECT * FROM [Table 1 (8)]"/>
  </connection>
  <connection id="26" xr16:uid="{6511B020-09B8-4D49-A330-134DD65ADD85}" keepAlive="1" name="Query - Table 1 (9)" description="Connection to the 'Table 1 (9)' query in the workbook." type="5" refreshedVersion="8" background="1" saveData="1">
    <dbPr connection="Provider=Microsoft.Mashup.OleDb.1;Data Source=$Workbook$;Location=&quot;Table 1 (9)&quot;;Extended Properties=&quot;&quot;" command="SELECT * FROM [Table 1 (9)]"/>
  </connection>
</connections>
</file>

<file path=xl/sharedStrings.xml><?xml version="1.0" encoding="utf-8"?>
<sst xmlns="http://schemas.openxmlformats.org/spreadsheetml/2006/main" count="1110" uniqueCount="297">
  <si>
    <t>driver</t>
  </si>
  <si>
    <t>team</t>
  </si>
  <si>
    <t>engine_supplier</t>
  </si>
  <si>
    <t>season_avg_finish_pos</t>
  </si>
  <si>
    <t>season_avg_quali_pos</t>
  </si>
  <si>
    <t>last3_avg_finish</t>
  </si>
  <si>
    <t>last3_avg_quali</t>
  </si>
  <si>
    <t>season_points</t>
  </si>
  <si>
    <t>championship_position</t>
  </si>
  <si>
    <t>team_championship_position</t>
  </si>
  <si>
    <t>team_points</t>
  </si>
  <si>
    <t>team_avg_finish_pos</t>
  </si>
  <si>
    <t>team_avg_quali_pos</t>
  </si>
  <si>
    <t>track_avg_finish_pos</t>
  </si>
  <si>
    <t>track_avg_quali_pos</t>
  </si>
  <si>
    <t>track_wins</t>
  </si>
  <si>
    <t>track_podiums</t>
  </si>
  <si>
    <t>driver_mechanical_dnf_rate</t>
  </si>
  <si>
    <t>team_mechanical_dnfs_this_season</t>
  </si>
  <si>
    <t>engine_manufacturer_mechanical_dnfs_this_season</t>
  </si>
  <si>
    <t>fp1_gap_to_fastest</t>
  </si>
  <si>
    <t>fp2_gap_to_fastest</t>
  </si>
  <si>
    <t>fp3_gap_to_fastest</t>
  </si>
  <si>
    <t>quali_gap_to_pole</t>
  </si>
  <si>
    <t>race_winner</t>
  </si>
  <si>
    <t>TEAM_code</t>
  </si>
  <si>
    <t>Name</t>
  </si>
  <si>
    <t>Merc</t>
  </si>
  <si>
    <t>Ferrari</t>
  </si>
  <si>
    <t>McLaren</t>
  </si>
  <si>
    <t>RedBull</t>
  </si>
  <si>
    <t>Alpine</t>
  </si>
  <si>
    <t>RacingBulls</t>
  </si>
  <si>
    <t>Hass</t>
  </si>
  <si>
    <t>Williams</t>
  </si>
  <si>
    <t>Audi</t>
  </si>
  <si>
    <t>Aston</t>
  </si>
  <si>
    <t>Cadiliac</t>
  </si>
  <si>
    <t>Driver_code</t>
  </si>
  <si>
    <t>Driver Name</t>
  </si>
  <si>
    <t>Bottas</t>
  </si>
  <si>
    <t>Perez</t>
  </si>
  <si>
    <t>Stroll</t>
  </si>
  <si>
    <t>Alonso</t>
  </si>
  <si>
    <t>Bortoleto</t>
  </si>
  <si>
    <t>Hulkenburg</t>
  </si>
  <si>
    <t>Albon</t>
  </si>
  <si>
    <t>Sainz</t>
  </si>
  <si>
    <t>Bearman</t>
  </si>
  <si>
    <t>Ocon</t>
  </si>
  <si>
    <t>Lindblad</t>
  </si>
  <si>
    <t>Lawson</t>
  </si>
  <si>
    <t>Colapinto</t>
  </si>
  <si>
    <t>Gasly</t>
  </si>
  <si>
    <t>Hadjar</t>
  </si>
  <si>
    <t>Verstappen</t>
  </si>
  <si>
    <t>Piastri</t>
  </si>
  <si>
    <t>Norris</t>
  </si>
  <si>
    <t>Hamilton</t>
  </si>
  <si>
    <t>Leclerc</t>
  </si>
  <si>
    <t>Antonelli</t>
  </si>
  <si>
    <t>Russell</t>
  </si>
  <si>
    <t>Race_Mel</t>
  </si>
  <si>
    <t>Race_China</t>
  </si>
  <si>
    <t>Race_Jap</t>
  </si>
  <si>
    <t>Race_Miami</t>
  </si>
  <si>
    <t>Race_Canada</t>
  </si>
  <si>
    <t>Race_Monaco</t>
  </si>
  <si>
    <t>Race_Barcelona</t>
  </si>
  <si>
    <t>Q_Mel</t>
  </si>
  <si>
    <t>Q_China</t>
  </si>
  <si>
    <t>Q_Jap</t>
  </si>
  <si>
    <t>Q_Miami</t>
  </si>
  <si>
    <t>Q_Canada</t>
  </si>
  <si>
    <t>Q_Monaco</t>
  </si>
  <si>
    <t>Q_Barcelona</t>
  </si>
  <si>
    <t>China</t>
  </si>
  <si>
    <t>round_number</t>
  </si>
  <si>
    <t>Pos.</t>
  </si>
  <si>
    <t>No.</t>
  </si>
  <si>
    <t>Driver</t>
  </si>
  <si>
    <t>Team</t>
  </si>
  <si>
    <t>Time / Gap</t>
  </si>
  <si>
    <t>Laps</t>
  </si>
  <si>
    <t>Oscar PiastriPIA</t>
  </si>
  <si>
    <t>Kimi AntonelliANT</t>
  </si>
  <si>
    <t>Mercedes</t>
  </si>
  <si>
    <t>George RussellRUS</t>
  </si>
  <si>
    <t>Lewis HamiltonHAM</t>
  </si>
  <si>
    <t>Charles LeclercLEC</t>
  </si>
  <si>
    <t>Max VerstappenVER</t>
  </si>
  <si>
    <t>Red Bull Racing</t>
  </si>
  <si>
    <t>Lando NorrisNOR</t>
  </si>
  <si>
    <t>Arvid LindbladLIN</t>
  </si>
  <si>
    <t>Racing Bulls</t>
  </si>
  <si>
    <t>Isack HadjarHAD</t>
  </si>
  <si>
    <t>Esteban OconOCO</t>
  </si>
  <si>
    <t>Haas F1 Team</t>
  </si>
  <si>
    <t>Oliver BearmanBEA</t>
  </si>
  <si>
    <t>Nico HulkenbergHUL</t>
  </si>
  <si>
    <t>Liam LawsonLAW</t>
  </si>
  <si>
    <t>Gabriel BortoletoBOR</t>
  </si>
  <si>
    <t>Alexander AlbonALB</t>
  </si>
  <si>
    <t>Pierre GaslyGAS</t>
  </si>
  <si>
    <t>Carlos SainzSAI</t>
  </si>
  <si>
    <t>Franco ColapintoCOL</t>
  </si>
  <si>
    <t>Valtteri BottasBOT</t>
  </si>
  <si>
    <t>Cadillac</t>
  </si>
  <si>
    <t>Fernando AlonsoALO</t>
  </si>
  <si>
    <t>Aston Martin</t>
  </si>
  <si>
    <t>Lance StrollSTR</t>
  </si>
  <si>
    <t>Sergio PerezPER</t>
  </si>
  <si>
    <t/>
  </si>
  <si>
    <t>FP2</t>
  </si>
  <si>
    <t>FP3</t>
  </si>
  <si>
    <t>Quali</t>
  </si>
  <si>
    <t>Q1</t>
  </si>
  <si>
    <t>Q2</t>
  </si>
  <si>
    <t>Q3</t>
  </si>
  <si>
    <t>1:18.518</t>
  </si>
  <si>
    <t>1:18.811</t>
  </si>
  <si>
    <t>1:19.303</t>
  </si>
  <si>
    <t>1:19.327</t>
  </si>
  <si>
    <t>1:19.380</t>
  </si>
  <si>
    <t>1:19.475</t>
  </si>
  <si>
    <t>1:19.478</t>
  </si>
  <si>
    <t>1:20.491</t>
  </si>
  <si>
    <t>1:19.994</t>
  </si>
  <si>
    <t>1:21.247</t>
  </si>
  <si>
    <t>1:20.303</t>
  </si>
  <si>
    <t>1:20.311</t>
  </si>
  <si>
    <t>1:20.501</t>
  </si>
  <si>
    <t>1:20.941</t>
  </si>
  <si>
    <t>1:21.270</t>
  </si>
  <si>
    <t>1:21.969</t>
  </si>
  <si>
    <t>1:22.605</t>
  </si>
  <si>
    <t>1:23.244</t>
  </si>
  <si>
    <t>Gap</t>
  </si>
  <si>
    <t>Sgrid</t>
  </si>
  <si>
    <t>Time</t>
  </si>
  <si>
    <t>code</t>
  </si>
  <si>
    <t>engine</t>
  </si>
  <si>
    <t>RBPT</t>
  </si>
  <si>
    <t>Honda</t>
  </si>
  <si>
    <t>Round</t>
  </si>
  <si>
    <t>Japan</t>
  </si>
  <si>
    <t>Miami</t>
  </si>
  <si>
    <t>Canada</t>
  </si>
  <si>
    <t>Monaco</t>
  </si>
  <si>
    <t>Barcelona</t>
  </si>
  <si>
    <t>Austria</t>
  </si>
  <si>
    <t>Australia</t>
  </si>
  <si>
    <t>race_or_sprint</t>
  </si>
  <si>
    <t>sprint_quali_gap</t>
  </si>
  <si>
    <t>sprint_finish_pos</t>
  </si>
  <si>
    <t>JAP</t>
  </si>
  <si>
    <t>FP1</t>
  </si>
  <si>
    <t>gap</t>
  </si>
  <si>
    <t>SQ</t>
  </si>
  <si>
    <t>Q</t>
  </si>
  <si>
    <t>1</t>
  </si>
  <si>
    <t>1:28.723</t>
  </si>
  <si>
    <t>1:29.366</t>
  </si>
  <si>
    <t>2</t>
  </si>
  <si>
    <t>1:29.312</t>
  </si>
  <si>
    <t>1:29.209</t>
  </si>
  <si>
    <t>3</t>
  </si>
  <si>
    <t>1:29.169</t>
  </si>
  <si>
    <t>1:28.506</t>
  </si>
  <si>
    <t>4</t>
  </si>
  <si>
    <t>1:28.733</t>
  </si>
  <si>
    <t>1:28.333</t>
  </si>
  <si>
    <t>5</t>
  </si>
  <si>
    <t>1:29.801</t>
  </si>
  <si>
    <t>1:29.093</t>
  </si>
  <si>
    <t>6</t>
  </si>
  <si>
    <t>1:29.659</t>
  </si>
  <si>
    <t>1:28.903</t>
  </si>
  <si>
    <t>7</t>
  </si>
  <si>
    <t>1:29.255</t>
  </si>
  <si>
    <t>1:28.841</t>
  </si>
  <si>
    <t>9</t>
  </si>
  <si>
    <t>1:30.352</t>
  </si>
  <si>
    <t>1:29.750</t>
  </si>
  <si>
    <t>1:28.653</t>
  </si>
  <si>
    <t>1:28.289</t>
  </si>
  <si>
    <t>1:29.099</t>
  </si>
  <si>
    <t>1:28.116</t>
  </si>
  <si>
    <t>1:28.938</t>
  </si>
  <si>
    <t>1:28.315</t>
  </si>
  <si>
    <t>1:29.183</t>
  </si>
  <si>
    <t>1:28.920</t>
  </si>
  <si>
    <t>1:29.492</t>
  </si>
  <si>
    <t>1:28.477</t>
  </si>
  <si>
    <t>1:29.483</t>
  </si>
  <si>
    <t>1:29.920</t>
  </si>
  <si>
    <t>1:28.332</t>
  </si>
  <si>
    <t>DQ</t>
  </si>
  <si>
    <t>1:28.941</t>
  </si>
  <si>
    <t>1:14.772</t>
  </si>
  <si>
    <t>1:13.026</t>
  </si>
  <si>
    <t>1:14.010</t>
  </si>
  <si>
    <t>1:13.551</t>
  </si>
  <si>
    <t>1:14.265</t>
  </si>
  <si>
    <t>1:13.957</t>
  </si>
  <si>
    <t>1:14.665</t>
  </si>
  <si>
    <t>1:13.858</t>
  </si>
  <si>
    <t>1:13.889</t>
  </si>
  <si>
    <t>1:13.465</t>
  </si>
  <si>
    <t>1:15.006</t>
  </si>
  <si>
    <t>1:13.554</t>
  </si>
  <si>
    <t>1:14.028</t>
  </si>
  <si>
    <t>1:14.412</t>
  </si>
  <si>
    <t>1:14.541</t>
  </si>
  <si>
    <t>1:14.239</t>
  </si>
  <si>
    <t>1:15.484</t>
  </si>
  <si>
    <t>1:13.953</t>
  </si>
  <si>
    <t>1:13.079</t>
  </si>
  <si>
    <t>1:13.380</t>
  </si>
  <si>
    <t>1:13.076</t>
  </si>
  <si>
    <t>1:13.503</t>
  </si>
  <si>
    <t>1:13.049</t>
  </si>
  <si>
    <t>1:13.559</t>
  </si>
  <si>
    <t>1:13.285</t>
  </si>
  <si>
    <t>1:13.767</t>
  </si>
  <si>
    <t>1:13.041</t>
  </si>
  <si>
    <t>1:14.067</t>
  </si>
  <si>
    <t>1:13.479</t>
  </si>
  <si>
    <t>1:13.654</t>
  </si>
  <si>
    <t>1:12.975</t>
  </si>
  <si>
    <t>1:13.825</t>
  </si>
  <si>
    <t>1:13.496</t>
  </si>
  <si>
    <t>gaps</t>
  </si>
  <si>
    <t>1:13.599</t>
  </si>
  <si>
    <t>1:12.704</t>
  </si>
  <si>
    <t>1:13.490</t>
  </si>
  <si>
    <t>1:12.499</t>
  </si>
  <si>
    <t>1:13.777</t>
  </si>
  <si>
    <t>1:12.934</t>
  </si>
  <si>
    <t>1:13.293</t>
  </si>
  <si>
    <t>1:12.774</t>
  </si>
  <si>
    <t>1:14.408</t>
  </si>
  <si>
    <t>1:12.722</t>
  </si>
  <si>
    <t>1:14.214</t>
  </si>
  <si>
    <t>1:13.238</t>
  </si>
  <si>
    <t>1:14.159</t>
  </si>
  <si>
    <t>1:12.983</t>
  </si>
  <si>
    <t>1:13.630</t>
  </si>
  <si>
    <t>1:12.919</t>
  </si>
  <si>
    <t>Barc -7</t>
  </si>
  <si>
    <t>Leonardo FornaroliFOR</t>
  </si>
  <si>
    <t>Paul AronARO</t>
  </si>
  <si>
    <t>Dino BeganovicBEG</t>
  </si>
  <si>
    <t>Ayumu IwasaIWA</t>
  </si>
  <si>
    <t>Frederik VestiVES</t>
  </si>
  <si>
    <t>Colton HertaHER</t>
  </si>
  <si>
    <t>1:15.717</t>
  </si>
  <si>
    <t>1:15.228</t>
  </si>
  <si>
    <t>1:15.625</t>
  </si>
  <si>
    <t>1:15.418</t>
  </si>
  <si>
    <t>1:15.977</t>
  </si>
  <si>
    <t>1:15.295</t>
  </si>
  <si>
    <t>1:16.287</t>
  </si>
  <si>
    <t>1:15.361</t>
  </si>
  <si>
    <t>1:16.352</t>
  </si>
  <si>
    <t>1:16.427</t>
  </si>
  <si>
    <t>1:15.754</t>
  </si>
  <si>
    <t>1:16.138</t>
  </si>
  <si>
    <t>1:15.518</t>
  </si>
  <si>
    <t>1:15.964</t>
  </si>
  <si>
    <t>1:15.281</t>
  </si>
  <si>
    <t>Spilberg</t>
  </si>
  <si>
    <t>1:07.398</t>
  </si>
  <si>
    <t>1:06.979</t>
  </si>
  <si>
    <t>1:07.543</t>
  </si>
  <si>
    <t>1:07.030</t>
  </si>
  <si>
    <t>1:07.290</t>
  </si>
  <si>
    <t>1:06.994</t>
  </si>
  <si>
    <t>1:07.083</t>
  </si>
  <si>
    <t>1:06.763</t>
  </si>
  <si>
    <t>1:07.407</t>
  </si>
  <si>
    <t>1:07.183</t>
  </si>
  <si>
    <t>1:07.259</t>
  </si>
  <si>
    <t>1:06.897</t>
  </si>
  <si>
    <t>1:07.487</t>
  </si>
  <si>
    <t>1:06.890</t>
  </si>
  <si>
    <t>1:07.408</t>
  </si>
  <si>
    <t>1:07.086</t>
  </si>
  <si>
    <t>Race_Austria</t>
  </si>
  <si>
    <t>Q_Austria</t>
  </si>
  <si>
    <t>Seasson Av</t>
  </si>
  <si>
    <t>Last3av</t>
  </si>
  <si>
    <t>straights</t>
  </si>
  <si>
    <t>high_sped_turn</t>
  </si>
  <si>
    <t>med_speed_turn</t>
  </si>
  <si>
    <t>low_speed_turn</t>
  </si>
  <si>
    <t>length_st_m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</si>
</sst>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10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787A1-0165-4AD0-AB19-75BFB4E73699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B38E2546-F81A-4715-B499-E8CA44D2CAD3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A82FABDF-DE33-4C18-8B14-30C03A7E877F}" autoFormatId="16" applyNumberFormats="0" applyBorderFormats="0" applyFontFormats="0" applyPatternFormats="0" applyAlignmentFormats="0" applyWidthHeightFormats="0">
  <queryTableRefresh nextId="10">
    <queryTableFields count="9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9" dataBound="0" tableColumnId="9"/>
      <queryTableField id="8" name="Lap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542BE7D2-A95F-4B42-AFF4-B00CF4C2A7B4}" autoFormatId="16" applyNumberFormats="0" applyBorderFormats="0" applyFontFormats="0" applyPatternFormats="0" applyAlignmentFormats="0" applyWidthHeightFormats="0">
  <queryTableRefresh nextId="6">
    <queryTableFields count="5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2" xr16:uid="{F8862AF3-24CB-42F3-9AAD-41C8FC6841DC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3" xr16:uid="{A286BFD4-3ABB-4655-9F97-98F4FC4EC013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4" xr16:uid="{2E359788-033B-4A62-BB72-D239333E194A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5" xr16:uid="{1C520AF3-0CD7-49F5-91F1-FFBCD2E38236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6" xr16:uid="{097DE99D-CEFB-4915-B8B0-8EA2ED61D624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21093B97-5955-4DD8-B106-DAFE8ABF2C1E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24796CE6-3ADE-4270-AC2C-40285C076755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B2F7A7DE-D355-46D0-9704-12F18945BC5C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" xr16:uid="{EE47CC97-E97A-4BEF-9925-03A9CE16CC55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6" xr16:uid="{3A5EDAC2-6FEE-4FB0-B22A-F45A382CA3CC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7" xr16:uid="{5D7A1215-FBF9-4DAF-A0FF-598C2570EE24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8" xr16:uid="{F7237C87-E1EB-4844-82AC-87806FF97260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9" xr16:uid="{7584B5EC-0357-48E9-B3C0-1D6952E52BED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0" xr16:uid="{692D060C-7AD0-4CEE-9F9D-95E19E88FFB1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1" xr16:uid="{AB03614B-A1CF-45E8-80F1-EC4519106BC1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3" xr16:uid="{F60EE1EA-4A2A-4160-A39C-C9EC874FA9FF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4" xr16:uid="{7B4EC84A-7C0C-4DA5-80D8-8C2AC909D8DF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15" xr16:uid="{D39FEE11-A30C-42D7-A6F7-CB4619874285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16" xr16:uid="{BCB62499-A6B1-4AEB-A6B6-439B280B0803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17" xr16:uid="{F54FDF7E-AE04-4700-A2B4-2668720A2DF1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18" xr16:uid="{408FA3CC-D15A-4B82-977D-CD168A20B61B}" autoFormatId="16" applyNumberFormats="0" applyBorderFormats="0" applyFontFormats="0" applyPatternFormats="0" applyAlignmentFormats="0" applyWidthHeightFormats="0">
  <queryTableRefresh nextId="7">
    <queryTableFields count="6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Time / Gap" tableColumnId="5"/>
      <queryTableField id="6" name="Laps" tableColumnId="6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19" xr16:uid="{02A0A1FE-6947-422D-B8DC-0283DC2D0057}" autoFormatId="16" applyNumberFormats="0" applyBorderFormats="0" applyFontFormats="0" applyPatternFormats="0" applyAlignmentFormats="0" applyWidthHeightFormats="0">
  <queryTableRefresh nextId="9">
    <queryTableFields count="8">
      <queryTableField id="1" name="Pos." tableColumnId="1"/>
      <queryTableField id="2" name="No." tableColumnId="2"/>
      <queryTableField id="3" name="Driver" tableColumnId="3"/>
      <queryTableField id="4" name="Team" tableColumnId="4"/>
      <queryTableField id="5" name="Q1" tableColumnId="5"/>
      <queryTableField id="6" name="Q2" tableColumnId="6"/>
      <queryTableField id="7" name="Q3" tableColumnId="7"/>
      <queryTableField id="8" name="Lap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294C4-8F1E-406F-BCC8-532166F3F46C}" name="Table_1" displayName="Table_1" ref="A2:F24" tableType="queryTable" totalsRowShown="0">
  <autoFilter ref="A2:F24" xr:uid="{53B294C4-8F1E-406F-BCC8-532166F3F46C}"/>
  <sortState xmlns:xlrd2="http://schemas.microsoft.com/office/spreadsheetml/2017/richdata2" ref="A3:F24">
    <sortCondition ref="B2:B24" customList="63,12,16,44,4,81,3,6,10,43,30,41,31,87,55,23,27,5,14,18,11,77"/>
  </sortState>
  <tableColumns count="6">
    <tableColumn id="1" xr3:uid="{2EC8A29C-5973-47A6-B1F3-F03FDFAB9712}" uniqueName="1" name="Pos." queryTableFieldId="1"/>
    <tableColumn id="2" xr3:uid="{F1F983AA-73C7-4E75-B00A-A156810352B7}" uniqueName="2" name="No." queryTableFieldId="2"/>
    <tableColumn id="3" xr3:uid="{F3F35E3C-6D4B-4709-8E39-A394E93328EF}" uniqueName="3" name="Driver" queryTableFieldId="3" dataDxfId="100"/>
    <tableColumn id="4" xr3:uid="{3C99F163-E9F4-4E07-A7CA-71D2C32DA0B9}" uniqueName="4" name="Team" queryTableFieldId="4" dataDxfId="99"/>
    <tableColumn id="5" xr3:uid="{22A32B32-D815-46C3-B72A-53D643A3E243}" uniqueName="5" name="Time / Gap" queryTableFieldId="5" dataDxfId="98"/>
    <tableColumn id="6" xr3:uid="{9F51D609-6A8D-46DA-80B8-567A5262FEDE}" uniqueName="6" name="Lap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F11AB0-1AB4-4826-91EA-9D3AF6F2D4AF}" name="Table_1__2" displayName="Table_1__2" ref="A28:F49" tableType="queryTable" totalsRowShown="0">
  <autoFilter ref="A28:F49" xr:uid="{37F11AB0-1AB4-4826-91EA-9D3AF6F2D4AF}"/>
  <sortState xmlns:xlrd2="http://schemas.microsoft.com/office/spreadsheetml/2017/richdata2" ref="A29:F49">
    <sortCondition ref="B28:B49" customList="63,12,16,44,4,81,3,6,10,43,30,41,31,87,55,23,27,5,14,18,11,77"/>
  </sortState>
  <tableColumns count="6">
    <tableColumn id="1" xr3:uid="{AC9CFF96-FDAB-4087-97BE-474A7D13F94B}" uniqueName="1" name="Pos." queryTableFieldId="1"/>
    <tableColumn id="2" xr3:uid="{B474C697-AA05-4E6A-97F8-0280634F90B1}" uniqueName="2" name="No." queryTableFieldId="2"/>
    <tableColumn id="3" xr3:uid="{7868BBC5-C82B-43A2-BB9D-1A72FD9D3F24}" uniqueName="3" name="Driver" queryTableFieldId="3" dataDxfId="97"/>
    <tableColumn id="4" xr3:uid="{78C8017F-8A4C-44C6-AD0C-8C4B8F1EC6EE}" uniqueName="4" name="Team" queryTableFieldId="4" dataDxfId="96"/>
    <tableColumn id="5" xr3:uid="{4DCD0F82-AFD1-4180-ACC8-928EE5AFB8C6}" uniqueName="5" name="Time / Gap" queryTableFieldId="5" dataDxfId="95"/>
    <tableColumn id="6" xr3:uid="{AE7DE081-C6F9-4428-9762-598EFEBAE6FE}" uniqueName="6" name="Lap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17A705-73F8-405B-902D-A669CE21C5CD}" name="Table_1__3" displayName="Table_1__3" ref="H2:P25" tableType="queryTable" totalsRowShown="0">
  <autoFilter ref="H2:P25" xr:uid="{5117A705-73F8-405B-902D-A669CE21C5CD}"/>
  <sortState xmlns:xlrd2="http://schemas.microsoft.com/office/spreadsheetml/2017/richdata2" ref="H3:P24">
    <sortCondition ref="I3:I24" customList="63,12,16,44,4,81,3,6,10,43,30,41,31,87,55,23,27,5,14,18,11,77"/>
  </sortState>
  <tableColumns count="9">
    <tableColumn id="1" xr3:uid="{7C502909-954C-4842-9127-F5EEAB0BE23D}" uniqueName="1" name="Pos." queryTableFieldId="1"/>
    <tableColumn id="2" xr3:uid="{696CE157-7F73-413E-AF29-171CBCACA3C5}" uniqueName="2" name="No." queryTableFieldId="2"/>
    <tableColumn id="3" xr3:uid="{1DF0BEDC-2C98-439C-BD41-FCA835F80FF9}" uniqueName="3" name="Driver" queryTableFieldId="3" dataDxfId="94"/>
    <tableColumn id="4" xr3:uid="{C5DF5EA3-F2AD-4841-9806-BF29B7CDA475}" uniqueName="4" name="Team" queryTableFieldId="4" dataDxfId="93"/>
    <tableColumn id="5" xr3:uid="{45F669AD-B14B-42EA-8088-7469E797F150}" uniqueName="5" name="Q1" queryTableFieldId="5" dataDxfId="92"/>
    <tableColumn id="6" xr3:uid="{DA35EFFE-EBB8-47F2-AA8B-DF68D2D3B7BB}" uniqueName="6" name="Q2" queryTableFieldId="6" dataDxfId="91"/>
    <tableColumn id="7" xr3:uid="{43AB8C71-6A0B-42C1-9779-73EDF7A0F52E}" uniqueName="7" name="Q3" queryTableFieldId="7" dataDxfId="90"/>
    <tableColumn id="9" xr3:uid="{3843B855-559E-40BA-884A-DA6BE6344288}" uniqueName="9" name="Gap" queryTableFieldId="9" dataDxfId="89">
      <calculatedColumnFormula>Table_1__3[[#This Row],[Q3]]-N2</calculatedColumnFormula>
    </tableColumn>
    <tableColumn id="8" xr3:uid="{957006C1-C9E9-4542-844A-C27D0AF2833E}" uniqueName="8" name="Lap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943857-D557-414D-AA28-F7BDE2BBD898}" name="Table_1__4" displayName="Table_1__4" ref="R2:V24" tableType="queryTable" totalsRowShown="0">
  <autoFilter ref="R2:V24" xr:uid="{21943857-D557-414D-AA28-F7BDE2BBD898}"/>
  <sortState xmlns:xlrd2="http://schemas.microsoft.com/office/spreadsheetml/2017/richdata2" ref="R3:V24">
    <sortCondition ref="S3:S24" customList="63,12,16,44,1,81,3,6,10,43,30,41,31,87,55,23,27,5,14,18,11,77"/>
  </sortState>
  <tableColumns count="5">
    <tableColumn id="1" xr3:uid="{E06592B8-33BF-4B56-9304-545D15DEC84D}" uniqueName="1" name="Pos." queryTableFieldId="1"/>
    <tableColumn id="2" xr3:uid="{715AAB43-C08C-4E8D-812E-38DB470DFEA0}" uniqueName="2" name="No." queryTableFieldId="2"/>
    <tableColumn id="3" xr3:uid="{E58FD55A-52E0-4613-A57B-DEB8145546D0}" uniqueName="3" name="Driver" queryTableFieldId="3" dataDxfId="88"/>
    <tableColumn id="4" xr3:uid="{90FAD77E-4EF3-4792-9534-46D54877CA02}" uniqueName="4" name="Team" queryTableFieldId="4" dataDxfId="87"/>
    <tableColumn id="5" xr3:uid="{F88C3732-14F4-4B94-AB30-57A6F9538672}" uniqueName="5" name="Time" queryTableFieldId="5" dataDxfId="8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D5642C-2853-4E1C-B8CC-9B0564227F6D}" name="Table_1__5" displayName="Table_1__5" ref="A55:F77" tableType="queryTable" totalsRowShown="0">
  <autoFilter ref="A55:F77" xr:uid="{7AD5642C-2853-4E1C-B8CC-9B0564227F6D}"/>
  <sortState xmlns:xlrd2="http://schemas.microsoft.com/office/spreadsheetml/2017/richdata2" ref="A56:F77">
    <sortCondition ref="B56:B77" customList="63,12,16,44,1,81,3,6"/>
  </sortState>
  <tableColumns count="6">
    <tableColumn id="1" xr3:uid="{D83A4106-3B18-40B5-8E32-7E6FDFFC8B95}" uniqueName="1" name="Pos." queryTableFieldId="1"/>
    <tableColumn id="2" xr3:uid="{E9059ABB-E492-44E3-8117-D197854E58C6}" uniqueName="2" name="No." queryTableFieldId="2"/>
    <tableColumn id="3" xr3:uid="{AC6FF2B1-8594-4200-A522-2887E5291AAA}" uniqueName="3" name="Driver" queryTableFieldId="3" dataDxfId="85"/>
    <tableColumn id="4" xr3:uid="{59D459CC-CF89-4631-A923-8EDE9C0EACF5}" uniqueName="4" name="Team" queryTableFieldId="4" dataDxfId="84"/>
    <tableColumn id="5" xr3:uid="{67F90967-13D1-4A28-A391-E23CFA8E8CA7}" uniqueName="5" name="Time / Gap" queryTableFieldId="5" dataDxfId="83"/>
    <tableColumn id="6" xr3:uid="{D1F3C57E-7F9C-4CA2-BE52-F4852ACA9D77}" uniqueName="6" name="Laps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395F95-5169-4952-B250-D941D6432071}" name="Table_1__6" displayName="Table_1__6" ref="H55:M77" tableType="queryTable" totalsRowShown="0">
  <autoFilter ref="H55:M77" xr:uid="{C8395F95-5169-4952-B250-D941D6432071}"/>
  <sortState xmlns:xlrd2="http://schemas.microsoft.com/office/spreadsheetml/2017/richdata2" ref="H56:M77">
    <sortCondition ref="I56:I77" customList="63,12,16,44,1,81,3,6"/>
  </sortState>
  <tableColumns count="6">
    <tableColumn id="1" xr3:uid="{F8E9468C-3813-464F-912C-8E9424F298FC}" uniqueName="1" name="Pos." queryTableFieldId="1"/>
    <tableColumn id="2" xr3:uid="{BFDC7409-7BF2-4442-AEED-091864B0449A}" uniqueName="2" name="No." queryTableFieldId="2"/>
    <tableColumn id="3" xr3:uid="{1BAD92A8-9B39-43D0-A0A4-93B017A39932}" uniqueName="3" name="Driver" queryTableFieldId="3" dataDxfId="82"/>
    <tableColumn id="4" xr3:uid="{D9D5DD4D-7F14-4114-8174-8C1FCC5A935E}" uniqueName="4" name="Team" queryTableFieldId="4" dataDxfId="81"/>
    <tableColumn id="5" xr3:uid="{A7B71C6C-2052-4B71-AD0B-CCF31EB10162}" uniqueName="5" name="Time / Gap" queryTableFieldId="5" dataDxfId="80"/>
    <tableColumn id="6" xr3:uid="{E1CB276E-7357-45A8-BF6A-44D1304162C7}" uniqueName="6" name="Laps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6B9475-62C8-44C9-96F0-28E8606059E3}" name="Table_1__7" displayName="Table_1__7" ref="P55:U77" tableType="queryTable" totalsRowShown="0">
  <autoFilter ref="P55:U77" xr:uid="{9B6B9475-62C8-44C9-96F0-28E8606059E3}"/>
  <sortState xmlns:xlrd2="http://schemas.microsoft.com/office/spreadsheetml/2017/richdata2" ref="P56:U77">
    <sortCondition ref="Q56:Q77" customList="63,12,16,44,1,81,3,6"/>
  </sortState>
  <tableColumns count="6">
    <tableColumn id="1" xr3:uid="{5A2730DA-8096-4B7D-B823-A688C5FDCA93}" uniqueName="1" name="Pos." queryTableFieldId="1"/>
    <tableColumn id="2" xr3:uid="{4146057E-57ED-4565-8CBA-7637B1E5F854}" uniqueName="2" name="No." queryTableFieldId="2"/>
    <tableColumn id="3" xr3:uid="{E7A9855C-5053-4C27-9B26-058360D88F87}" uniqueName="3" name="Driver" queryTableFieldId="3" dataDxfId="79"/>
    <tableColumn id="4" xr3:uid="{B3CF44B0-24C3-4E72-ACF8-AC5DA8670CCE}" uniqueName="4" name="Team" queryTableFieldId="4" dataDxfId="78"/>
    <tableColumn id="5" xr3:uid="{3365D5F9-6AF3-4A6C-9041-3EC8AF00A090}" uniqueName="5" name="Time / Gap" queryTableFieldId="5" dataDxfId="77"/>
    <tableColumn id="6" xr3:uid="{E6809E3A-0BA7-41A7-A3F2-07AB87FEFA9E}" uniqueName="6" name="Lap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84A0A5-AA76-4798-B5CC-77C678FE8C1C}" name="Table_1__8" displayName="Table_1__8" ref="A80:H102" tableType="queryTable" totalsRowShown="0">
  <autoFilter ref="A80:H102" xr:uid="{7484A0A5-AA76-4798-B5CC-77C678FE8C1C}"/>
  <sortState xmlns:xlrd2="http://schemas.microsoft.com/office/spreadsheetml/2017/richdata2" ref="A81:H102">
    <sortCondition ref="B81:B102" customList="63,12,16,44,1,81,3,6"/>
  </sortState>
  <tableColumns count="8">
    <tableColumn id="1" xr3:uid="{8AD1F1B5-FB3D-481F-A344-887B35562E3F}" uniqueName="1" name="Pos." queryTableFieldId="1"/>
    <tableColumn id="2" xr3:uid="{5C5DA455-2A09-445E-8AA5-1262CD33B08D}" uniqueName="2" name="No." queryTableFieldId="2"/>
    <tableColumn id="3" xr3:uid="{35B815C8-43CB-40CA-9E10-BC39FA05164B}" uniqueName="3" name="Driver" queryTableFieldId="3" dataDxfId="76"/>
    <tableColumn id="4" xr3:uid="{70AC6E1F-4909-4F59-B66D-665D234F5ADD}" uniqueName="4" name="Team" queryTableFieldId="4" dataDxfId="75"/>
    <tableColumn id="5" xr3:uid="{F600853B-E105-4526-847C-A7E3B1BE7244}" uniqueName="5" name="Q1" queryTableFieldId="5" dataDxfId="74"/>
    <tableColumn id="6" xr3:uid="{4B252438-9B06-4E9E-8FF4-8D7176CAB9F7}" uniqueName="6" name="Q2" queryTableFieldId="6" dataDxfId="73"/>
    <tableColumn id="7" xr3:uid="{1538AC86-6888-4AE8-86AD-23C15160C865}" uniqueName="7" name="Q3" queryTableFieldId="7" dataDxfId="72"/>
    <tableColumn id="8" xr3:uid="{48DD7D3C-C651-4BE8-9DB7-1D8877A5356A}" uniqueName="8" name="gap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A9F72A-7ADA-48B2-9BBA-A7225EB36E12}" name="Table_1__9" displayName="Table_1__9" ref="A106:F128" tableType="queryTable" totalsRowShown="0">
  <autoFilter ref="A106:F128" xr:uid="{6EA9F72A-7ADA-48B2-9BBA-A7225EB36E12}"/>
  <sortState xmlns:xlrd2="http://schemas.microsoft.com/office/spreadsheetml/2017/richdata2" ref="A107:F128">
    <sortCondition ref="B107:B128" customList="63,12,16,44,1,81,3,6"/>
  </sortState>
  <tableColumns count="6">
    <tableColumn id="1" xr3:uid="{4DA9B574-F5B3-4E7B-9F57-0F1D974A6BF3}" uniqueName="1" name="Pos." queryTableFieldId="1"/>
    <tableColumn id="2" xr3:uid="{FED25EF2-DD78-47C8-AD50-D41405ED21FF}" uniqueName="2" name="No." queryTableFieldId="2"/>
    <tableColumn id="3" xr3:uid="{C64A9732-444A-499B-9A64-B6FCE5B29DC3}" uniqueName="3" name="Driver" queryTableFieldId="3" dataDxfId="71"/>
    <tableColumn id="4" xr3:uid="{59254695-3BFA-445D-BDA4-83E608BACFB2}" uniqueName="4" name="Team" queryTableFieldId="4" dataDxfId="70"/>
    <tableColumn id="5" xr3:uid="{B7428CE3-AA1B-4579-B926-1854E21136AD}" uniqueName="5" name="Time / Gap" queryTableFieldId="5" dataDxfId="69"/>
    <tableColumn id="6" xr3:uid="{56F2EE6E-3F23-4246-9251-0DBE6188A316}" uniqueName="6" name="Lap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1B242E-59CF-444F-BCA5-30ADB7C5BB9A}" name="Table_1__10" displayName="Table_1__10" ref="I106:P127" tableType="queryTable" totalsRowShown="0">
  <autoFilter ref="I106:P127" xr:uid="{2D1B242E-59CF-444F-BCA5-30ADB7C5BB9A}"/>
  <sortState xmlns:xlrd2="http://schemas.microsoft.com/office/spreadsheetml/2017/richdata2" ref="I107:P127">
    <sortCondition ref="J107:J127" customList="63,12,16,44,1,81,3,6"/>
  </sortState>
  <tableColumns count="8">
    <tableColumn id="1" xr3:uid="{B94F7FFF-38D4-4E0E-8207-0E58056173E9}" uniqueName="1" name="Pos." queryTableFieldId="1" dataDxfId="68"/>
    <tableColumn id="2" xr3:uid="{AFC2ECCB-2BB0-4FC3-8BE5-605D8427B238}" uniqueName="2" name="No." queryTableFieldId="2"/>
    <tableColumn id="3" xr3:uid="{3D5C1759-F455-43D9-8226-2CAA5F6AC1DA}" uniqueName="3" name="Driver" queryTableFieldId="3" dataDxfId="67"/>
    <tableColumn id="4" xr3:uid="{63E656E0-E9E5-4306-8EF5-C27125321484}" uniqueName="4" name="Team" queryTableFieldId="4" dataDxfId="66"/>
    <tableColumn id="5" xr3:uid="{DB87C75E-2B17-49BF-A157-381076EB5585}" uniqueName="5" name="Q1" queryTableFieldId="5" dataDxfId="65"/>
    <tableColumn id="6" xr3:uid="{A5DDDE2C-CC15-415A-B1CB-1087E74095D0}" uniqueName="6" name="Q2" queryTableFieldId="6" dataDxfId="64"/>
    <tableColumn id="7" xr3:uid="{9F89A2DA-9F65-4295-9342-E462C2C453A1}" uniqueName="7" name="Q3" queryTableFieldId="7" dataDxfId="63"/>
    <tableColumn id="8" xr3:uid="{F9D50D48-A3C6-40ED-8DFB-4272263EB21E}" uniqueName="8" name="gap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FB4365E-22FB-45E4-8E53-D3F27099C175}" name="Table_1__11" displayName="Table_1__11" ref="R106:Y128" tableType="queryTable" totalsRowShown="0">
  <autoFilter ref="R106:Y128" xr:uid="{0FB4365E-22FB-45E4-8E53-D3F27099C175}"/>
  <sortState xmlns:xlrd2="http://schemas.microsoft.com/office/spreadsheetml/2017/richdata2" ref="R107:Y128">
    <sortCondition ref="S107:S128" customList="63,12,16,44,1,81,3,6"/>
  </sortState>
  <tableColumns count="8">
    <tableColumn id="1" xr3:uid="{5953AEFE-5D47-45CD-B4CF-2F02D29BF4D4}" uniqueName="1" name="Pos." queryTableFieldId="1" dataDxfId="62"/>
    <tableColumn id="2" xr3:uid="{6638F0FC-5325-4D91-A5A9-F512DBFBC56F}" uniqueName="2" name="No." queryTableFieldId="2"/>
    <tableColumn id="3" xr3:uid="{7417EEA4-2C79-4A0C-9CDC-1EAFC0446918}" uniqueName="3" name="Driver" queryTableFieldId="3" dataDxfId="61"/>
    <tableColumn id="4" xr3:uid="{A59EFDB5-289E-408E-874E-9AB61939F2D4}" uniqueName="4" name="Team" queryTableFieldId="4" dataDxfId="60"/>
    <tableColumn id="5" xr3:uid="{C005D1BA-E50F-40F4-B20A-705CC9413ECE}" uniqueName="5" name="Q1" queryTableFieldId="5" dataDxfId="59"/>
    <tableColumn id="6" xr3:uid="{5E8ED224-6FCF-4AE6-A1E6-F835CE974669}" uniqueName="6" name="Q2" queryTableFieldId="6" dataDxfId="58"/>
    <tableColumn id="7" xr3:uid="{6B660D0A-9FB9-433E-A74A-20C6002D7322}" uniqueName="7" name="Q3" queryTableFieldId="7" dataDxfId="57"/>
    <tableColumn id="8" xr3:uid="{E961ED4B-9A1E-4AD9-984A-B969E3F0D9A6}" uniqueName="8" name="gap" queryTableField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897E19-3C69-4CFC-A368-12856C8F5144}" name="Table_1__12" displayName="Table_1__12" ref="A132:F154" tableType="queryTable" totalsRowShown="0">
  <autoFilter ref="A132:F154" xr:uid="{D9897E19-3C69-4CFC-A368-12856C8F5144}"/>
  <sortState xmlns:xlrd2="http://schemas.microsoft.com/office/spreadsheetml/2017/richdata2" ref="A133:F154">
    <sortCondition ref="B133:B154" customList="63,12,16,44,1,81,3,6"/>
  </sortState>
  <tableColumns count="6">
    <tableColumn id="1" xr3:uid="{B000A7E5-CBE5-4D95-AF43-AD9C9EE8D7DE}" uniqueName="1" name="Pos." queryTableFieldId="1"/>
    <tableColumn id="2" xr3:uid="{1938449A-4DBE-4E14-8CB7-96482BC8156E}" uniqueName="2" name="No." queryTableFieldId="2"/>
    <tableColumn id="3" xr3:uid="{719ABA67-E470-47D7-AC32-FA84BB16DCD3}" uniqueName="3" name="Driver" queryTableFieldId="3" dataDxfId="56"/>
    <tableColumn id="4" xr3:uid="{2BB274E2-0952-4C3E-A47D-2EF71C30CCC3}" uniqueName="4" name="Team" queryTableFieldId="4" dataDxfId="55"/>
    <tableColumn id="5" xr3:uid="{9621C48E-7C11-4C2F-BA92-E6B6126B6706}" uniqueName="5" name="Time / Gap" queryTableFieldId="5" dataDxfId="54"/>
    <tableColumn id="6" xr3:uid="{B728D473-33A3-481D-8B73-CBAF937610CB}" uniqueName="6" name="Laps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1F2617C-DB9A-4DC3-955A-13D80E65F065}" name="Table_1__13" displayName="Table_1__13" ref="I132:P152" tableType="queryTable" totalsRowShown="0">
  <autoFilter ref="I132:P152" xr:uid="{51F2617C-DB9A-4DC3-955A-13D80E65F065}"/>
  <sortState xmlns:xlrd2="http://schemas.microsoft.com/office/spreadsheetml/2017/richdata2" ref="I133:P152">
    <sortCondition ref="J133:J152" customList="63,12,16,44,1,81,3,6"/>
  </sortState>
  <tableColumns count="8">
    <tableColumn id="1" xr3:uid="{D0123D60-8998-4BBC-A252-E693C0B3EA8F}" uniqueName="1" name="Pos." queryTableFieldId="1"/>
    <tableColumn id="2" xr3:uid="{8BBD0C31-14ED-4E78-B92A-16D15BE0C282}" uniqueName="2" name="No." queryTableFieldId="2"/>
    <tableColumn id="3" xr3:uid="{805D6FFF-86AB-4E52-BE2E-4A9492E588A5}" uniqueName="3" name="Driver" queryTableFieldId="3" dataDxfId="53"/>
    <tableColumn id="4" xr3:uid="{C56D5A26-247B-4BF3-8EB4-2C80E548FCFF}" uniqueName="4" name="Team" queryTableFieldId="4" dataDxfId="52"/>
    <tableColumn id="5" xr3:uid="{F2592F73-A3DA-49D2-8A61-144B1E783E12}" uniqueName="5" name="Q1" queryTableFieldId="5" dataDxfId="51"/>
    <tableColumn id="6" xr3:uid="{5A29E935-022D-4A31-B16C-98D34A41FEBF}" uniqueName="6" name="Q2" queryTableFieldId="6" dataDxfId="50"/>
    <tableColumn id="7" xr3:uid="{4E4F9106-9EE5-4FC4-BEEE-485AD492FBC8}" uniqueName="7" name="Q3" queryTableFieldId="7" dataDxfId="49"/>
    <tableColumn id="8" xr3:uid="{39048DA4-093A-4EBD-8E95-A4E32B400F3F}" uniqueName="8" name="gaps" queryTableFieldId="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F8DEF14-03A6-415C-8D77-164192185EDD}" name="Table_1__14" displayName="Table_1__14" ref="R132:Y154" tableType="queryTable" totalsRowShown="0">
  <autoFilter ref="R132:Y154" xr:uid="{CF8DEF14-03A6-415C-8D77-164192185EDD}"/>
  <sortState xmlns:xlrd2="http://schemas.microsoft.com/office/spreadsheetml/2017/richdata2" ref="R133:Y154">
    <sortCondition ref="S133:S154" customList="63,12,16,44,1,81,3,6"/>
  </sortState>
  <tableColumns count="8">
    <tableColumn id="1" xr3:uid="{4B15A322-5B9F-4951-8141-4DEECA5E1B11}" uniqueName="1" name="Pos." queryTableFieldId="1"/>
    <tableColumn id="2" xr3:uid="{CBCCF10A-455D-4028-88D6-00EF95794E34}" uniqueName="2" name="No." queryTableFieldId="2"/>
    <tableColumn id="3" xr3:uid="{86B4843C-9E0D-4A36-9DF6-92A6AE351B6B}" uniqueName="3" name="Driver" queryTableFieldId="3" dataDxfId="48"/>
    <tableColumn id="4" xr3:uid="{404369B2-48F7-4E27-85FB-2CBC75F74A00}" uniqueName="4" name="Team" queryTableFieldId="4" dataDxfId="47"/>
    <tableColumn id="5" xr3:uid="{49B05CF4-1664-4D53-BFE6-ED45184C0493}" uniqueName="5" name="Q1" queryTableFieldId="5" dataDxfId="46"/>
    <tableColumn id="6" xr3:uid="{D9395AAC-691A-4A2E-BE47-21DE5342F71B}" uniqueName="6" name="Q2" queryTableFieldId="6" dataDxfId="45"/>
    <tableColumn id="7" xr3:uid="{BAD514CF-EB5B-4B0B-B77F-23640772ABB7}" uniqueName="7" name="Q3" queryTableFieldId="7" dataDxfId="44"/>
    <tableColumn id="8" xr3:uid="{AF179638-BDA8-492B-B222-1420CE132ACD}" uniqueName="8" name="Laps" queryTableFieldId="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FACA85-EBEA-43FF-BD75-1721D5F0D777}" name="Table_1__15" displayName="Table_1__15" ref="A158:F180" tableType="queryTable" totalsRowShown="0">
  <autoFilter ref="A158:F180" xr:uid="{DBFACA85-EBEA-43FF-BD75-1721D5F0D777}"/>
  <sortState xmlns:xlrd2="http://schemas.microsoft.com/office/spreadsheetml/2017/richdata2" ref="A159:F180">
    <sortCondition ref="B159:B180" customList="63,12,16,44,1,81,3,6"/>
  </sortState>
  <tableColumns count="6">
    <tableColumn id="1" xr3:uid="{1143A105-B072-41C9-B45E-BE84CA84EDE6}" uniqueName="1" name="Pos." queryTableFieldId="1"/>
    <tableColumn id="2" xr3:uid="{2C5AC738-F8AB-45F7-A683-7107FE615D45}" uniqueName="2" name="No." queryTableFieldId="2"/>
    <tableColumn id="3" xr3:uid="{69B4D627-D1A3-48ED-B77A-5D9A06422C43}" uniqueName="3" name="Driver" queryTableFieldId="3" dataDxfId="43"/>
    <tableColumn id="4" xr3:uid="{17D55155-469B-43F0-90F9-2BF754A43E67}" uniqueName="4" name="Team" queryTableFieldId="4" dataDxfId="42"/>
    <tableColumn id="5" xr3:uid="{77C46966-F9EA-43B5-882F-FAA4F564029E}" uniqueName="5" name="Time / Gap" queryTableFieldId="5" dataDxfId="41"/>
    <tableColumn id="6" xr3:uid="{8DB5222E-7B17-40A0-9D2A-67FC9F4B259B}" uniqueName="6" name="Laps" queryTableField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00B527-8661-4282-BEC9-DF7A0F1C8768}" name="Table_1__16" displayName="Table_1__16" ref="I158:N180" tableType="queryTable" totalsRowShown="0">
  <autoFilter ref="I158:N180" xr:uid="{4700B527-8661-4282-BEC9-DF7A0F1C8768}"/>
  <sortState xmlns:xlrd2="http://schemas.microsoft.com/office/spreadsheetml/2017/richdata2" ref="I159:N180">
    <sortCondition ref="J159:J180" customList="63,12,16,44,1,81,3,6"/>
  </sortState>
  <tableColumns count="6">
    <tableColumn id="1" xr3:uid="{8F42F9E4-7419-4406-89F3-520EB2C68865}" uniqueName="1" name="Pos." queryTableFieldId="1"/>
    <tableColumn id="2" xr3:uid="{27BFCB87-E79C-4399-B2BE-21D33843D6E9}" uniqueName="2" name="No." queryTableFieldId="2"/>
    <tableColumn id="3" xr3:uid="{BC9CB61E-1866-4E86-AF89-EBA2C35B55C1}" uniqueName="3" name="Driver" queryTableFieldId="3" dataDxfId="40"/>
    <tableColumn id="4" xr3:uid="{6941B95F-DD78-4AC5-B1C7-3F0AD9181A02}" uniqueName="4" name="Team" queryTableFieldId="4" dataDxfId="39"/>
    <tableColumn id="5" xr3:uid="{0452F8C4-84CC-491F-9688-CBE294B65BEE}" uniqueName="5" name="Time / Gap" queryTableFieldId="5" dataDxfId="38"/>
    <tableColumn id="6" xr3:uid="{5921AD32-DB78-4C4A-B03E-B61DFD6DE52C}" uniqueName="6" name="Laps" queryTableFieldId="6" dataDxfId="3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74179CE-DEC7-4E2D-8FF3-0063FC8388AE}" name="Table_1__17" displayName="Table_1__17" ref="R158:W180" tableType="queryTable" totalsRowShown="0">
  <autoFilter ref="R158:W180" xr:uid="{474179CE-DEC7-4E2D-8FF3-0063FC8388AE}"/>
  <sortState xmlns:xlrd2="http://schemas.microsoft.com/office/spreadsheetml/2017/richdata2" ref="R159:W180">
    <sortCondition ref="S159:S180" customList="63,12,16,44,1,81,3,6"/>
  </sortState>
  <tableColumns count="6">
    <tableColumn id="1" xr3:uid="{536AA7AE-9FD4-4349-9B7F-5E8F2A7884C9}" uniqueName="1" name="Pos." queryTableFieldId="1"/>
    <tableColumn id="2" xr3:uid="{E3AFCC93-BC4F-4C10-B87A-A77A15892D28}" uniqueName="2" name="No." queryTableFieldId="2"/>
    <tableColumn id="3" xr3:uid="{5FA2C54B-6E0E-45F4-B429-4B6ACF27C24B}" uniqueName="3" name="Driver" queryTableFieldId="3" dataDxfId="36"/>
    <tableColumn id="4" xr3:uid="{2F33656B-DCF2-49FD-AF6A-286EF10A9C70}" uniqueName="4" name="Team" queryTableFieldId="4" dataDxfId="35"/>
    <tableColumn id="5" xr3:uid="{942FE8D8-889F-4A3D-9EEB-6F328EC55D5F}" uniqueName="5" name="Time / Gap" queryTableFieldId="5" dataDxfId="34"/>
    <tableColumn id="6" xr3:uid="{722DF207-AB0F-4A7F-9D6A-BFB50724E26E}" uniqueName="6" name="Laps" queryTableFieldId="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471DD4F-D9F9-4740-AB89-ED95D4A9C54C}" name="Table_1__18" displayName="Table_1__18" ref="A183:H205" tableType="queryTable" totalsRowShown="0">
  <autoFilter ref="A183:H205" xr:uid="{1471DD4F-D9F9-4740-AB89-ED95D4A9C54C}"/>
  <sortState xmlns:xlrd2="http://schemas.microsoft.com/office/spreadsheetml/2017/richdata2" ref="A184:H205">
    <sortCondition ref="B184:B205" customList="63,12,16,44,1,81,3,6"/>
  </sortState>
  <tableColumns count="8">
    <tableColumn id="1" xr3:uid="{FED59838-5BE4-4C83-90BE-9E25D1A8C51F}" uniqueName="1" name="Pos." queryTableFieldId="1"/>
    <tableColumn id="2" xr3:uid="{5B1627B5-50F5-4AE2-8D36-B93DF2A52083}" uniqueName="2" name="No." queryTableFieldId="2"/>
    <tableColumn id="3" xr3:uid="{EBEDD933-E247-42AB-BFF3-790B39112055}" uniqueName="3" name="Driver" queryTableFieldId="3" dataDxfId="33"/>
    <tableColumn id="4" xr3:uid="{F20BEC3F-8E3A-471D-971B-4B2C5210F13A}" uniqueName="4" name="Team" queryTableFieldId="4" dataDxfId="32"/>
    <tableColumn id="5" xr3:uid="{1FE84A7F-89C4-4CD6-BAE5-E6AA1A89E247}" uniqueName="5" name="Q1" queryTableFieldId="5" dataDxfId="31"/>
    <tableColumn id="6" xr3:uid="{5039DDFB-7DF0-42A4-AF80-F96294D77F8B}" uniqueName="6" name="Q2" queryTableFieldId="6" dataDxfId="30"/>
    <tableColumn id="7" xr3:uid="{B9A951D0-7C33-48AB-AE75-0D0E6211DA80}" uniqueName="7" name="Q3" queryTableFieldId="7" dataDxfId="29"/>
    <tableColumn id="8" xr3:uid="{617B9574-3EE5-4071-BB13-5098683D56CD}" uniqueName="8" name="gaps" queryTableFieldId="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399AFFE-4D76-4554-8FD6-6CB3F9D88B35}" name="Table_1__19" displayName="Table_1__19" ref="A210:F231" tableType="queryTable" totalsRowShown="0">
  <autoFilter ref="A210:F231" xr:uid="{A399AFFE-4D76-4554-8FD6-6CB3F9D88B35}"/>
  <sortState xmlns:xlrd2="http://schemas.microsoft.com/office/spreadsheetml/2017/richdata2" ref="A211:F231">
    <sortCondition ref="B211:B231" customList="63,12,16,44,1,81,3,6"/>
  </sortState>
  <tableColumns count="6">
    <tableColumn id="1" xr3:uid="{AF2BFFC5-C0A7-48F6-97E1-E9031705E330}" uniqueName="1" name="Pos." queryTableFieldId="1"/>
    <tableColumn id="2" xr3:uid="{61FB5E37-6E05-4978-9BD4-FEE34D6CE8DB}" uniqueName="2" name="No." queryTableFieldId="2"/>
    <tableColumn id="3" xr3:uid="{090AE86A-7475-48EE-9A7A-918352A263D7}" uniqueName="3" name="Driver" queryTableFieldId="3" dataDxfId="28"/>
    <tableColumn id="4" xr3:uid="{96C40F05-D549-45FD-828D-EC4FDE3B6C1A}" uniqueName="4" name="Team" queryTableFieldId="4" dataDxfId="27"/>
    <tableColumn id="5" xr3:uid="{4E8A9170-03BF-452E-A2FB-94F9EBC9613A}" uniqueName="5" name="Time / Gap" queryTableFieldId="5" dataDxfId="26"/>
    <tableColumn id="6" xr3:uid="{BB213900-79B8-4D81-8941-1988C20E3024}" uniqueName="6" name="Laps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FED5808-CCFC-4E8E-BD5A-A83EC549B1C7}" name="Table_1__20" displayName="Table_1__20" ref="I210:N232" tableType="queryTable" totalsRowShown="0">
  <autoFilter ref="I210:N232" xr:uid="{CFED5808-CCFC-4E8E-BD5A-A83EC549B1C7}"/>
  <sortState xmlns:xlrd2="http://schemas.microsoft.com/office/spreadsheetml/2017/richdata2" ref="I211:N232">
    <sortCondition ref="J211:J232" customList="63,12,16,44,1,81,3,6"/>
  </sortState>
  <tableColumns count="6">
    <tableColumn id="1" xr3:uid="{17AC05F0-60E2-4F7D-9C64-BFA63DCBBBDE}" uniqueName="1" name="Pos." queryTableFieldId="1"/>
    <tableColumn id="2" xr3:uid="{F4DB9261-0A64-41D5-941B-D211D8CBE51B}" uniqueName="2" name="No." queryTableFieldId="2"/>
    <tableColumn id="3" xr3:uid="{F86876B7-FF1C-4161-8A6B-B5415EE924A4}" uniqueName="3" name="Driver" queryTableFieldId="3" dataDxfId="25"/>
    <tableColumn id="4" xr3:uid="{EC85B33A-C67F-4DC7-91A1-91C0D80C4CE5}" uniqueName="4" name="Team" queryTableFieldId="4" dataDxfId="24"/>
    <tableColumn id="5" xr3:uid="{432F673F-8063-40D2-AC90-0C78AB3CD0C0}" uniqueName="5" name="Time / Gap" queryTableFieldId="5" dataDxfId="23"/>
    <tableColumn id="6" xr3:uid="{13541B2C-83B3-4BE6-98DB-9E2825ABB7EF}" uniqueName="6" name="Laps" queryTableFieldId="6" dataDxfId="2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DF6C5AF-A1EE-4D39-9C01-A19DA3BA57A8}" name="Table_1__21" displayName="Table_1__21" ref="R210:W232" tableType="queryTable" totalsRowShown="0">
  <autoFilter ref="R210:W232" xr:uid="{6DF6C5AF-A1EE-4D39-9C01-A19DA3BA57A8}"/>
  <sortState xmlns:xlrd2="http://schemas.microsoft.com/office/spreadsheetml/2017/richdata2" ref="R211:W232">
    <sortCondition ref="S211:S232" customList="63,12,16,44,1,81,3,6"/>
  </sortState>
  <tableColumns count="6">
    <tableColumn id="1" xr3:uid="{DAA04A6B-5582-4B20-86FD-EFBB73E0A2A4}" uniqueName="1" name="Pos." queryTableFieldId="1"/>
    <tableColumn id="2" xr3:uid="{67C9B82D-90FB-4FD5-90A1-023E79CB4EC5}" uniqueName="2" name="No." queryTableFieldId="2"/>
    <tableColumn id="3" xr3:uid="{CCC3F17D-4B13-40BF-9136-E0303218A630}" uniqueName="3" name="Driver" queryTableFieldId="3" dataDxfId="21"/>
    <tableColumn id="4" xr3:uid="{957A5BDA-6A90-41A4-AD5B-CD86605C382A}" uniqueName="4" name="Team" queryTableFieldId="4" dataDxfId="20"/>
    <tableColumn id="5" xr3:uid="{A007E9BA-EF8A-41CB-A47A-BC6BCE2C8104}" uniqueName="5" name="Time / Gap" queryTableFieldId="5" dataDxfId="19"/>
    <tableColumn id="6" xr3:uid="{B535965A-FD24-4285-BB79-6A993DAE1FEA}" uniqueName="6" name="Laps" queryTableFieldId="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4995B8D-5E03-47A9-BD7D-648C288A50F3}" name="Table_1__22" displayName="Table_1__22" ref="A237:H259" tableType="queryTable" totalsRowShown="0">
  <autoFilter ref="A237:H259" xr:uid="{54995B8D-5E03-47A9-BD7D-648C288A50F3}"/>
  <sortState xmlns:xlrd2="http://schemas.microsoft.com/office/spreadsheetml/2017/richdata2" ref="A238:H259">
    <sortCondition ref="B238:B259" customList="63,12,16,44,1,81,3,6"/>
  </sortState>
  <tableColumns count="8">
    <tableColumn id="1" xr3:uid="{D315E351-F4BD-4632-8089-8561F60499C6}" uniqueName="1" name="Pos." queryTableFieldId="1"/>
    <tableColumn id="2" xr3:uid="{1261FA2E-71B4-445D-B23D-24E7BB09EC90}" uniqueName="2" name="No." queryTableFieldId="2"/>
    <tableColumn id="3" xr3:uid="{6C56550F-73BC-4E0E-927C-79567B70BBDD}" uniqueName="3" name="Driver" queryTableFieldId="3" dataDxfId="18"/>
    <tableColumn id="4" xr3:uid="{95E4BCBE-7E92-44A0-9769-0AFBA6242554}" uniqueName="4" name="Team" queryTableFieldId="4" dataDxfId="17"/>
    <tableColumn id="5" xr3:uid="{D63348D9-9185-4306-8AB7-6AA40062AADC}" uniqueName="5" name="Q1" queryTableFieldId="5" dataDxfId="16"/>
    <tableColumn id="6" xr3:uid="{CD7BFDDF-8F24-4681-8A44-F08E0C176010}" uniqueName="6" name="Q2" queryTableFieldId="6" dataDxfId="15"/>
    <tableColumn id="7" xr3:uid="{68A7FCE8-9D0A-4D29-89BB-C10D8BF1BED0}" uniqueName="7" name="Q3" queryTableFieldId="7" dataDxfId="14"/>
    <tableColumn id="8" xr3:uid="{96B4C181-C2AE-4F03-9BD2-9E2734B4096D}" uniqueName="8" name="Laps" queryTableFieldId="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A56BFB9-65C2-4DD0-91FE-5694A11459C2}" name="Table_1__23" displayName="Table_1__23" ref="A263:F285" tableType="queryTable" totalsRowShown="0">
  <autoFilter ref="A263:F285" xr:uid="{6A56BFB9-65C2-4DD0-91FE-5694A11459C2}"/>
  <sortState xmlns:xlrd2="http://schemas.microsoft.com/office/spreadsheetml/2017/richdata2" ref="A264:F285">
    <sortCondition ref="B264:B285" customList="63,12,16,44,1,81,3,6"/>
  </sortState>
  <tableColumns count="6">
    <tableColumn id="1" xr3:uid="{5CD7C017-F51A-4135-AB91-BFDDB172B379}" uniqueName="1" name="Pos." queryTableFieldId="1"/>
    <tableColumn id="2" xr3:uid="{C53DA62F-867D-4810-A3D0-E8ADA4CB1514}" uniqueName="2" name="No." queryTableFieldId="2"/>
    <tableColumn id="3" xr3:uid="{4C2236CB-0C4F-424C-9872-D9BB9C814A9C}" uniqueName="3" name="Driver" queryTableFieldId="3" dataDxfId="13"/>
    <tableColumn id="4" xr3:uid="{1C23F87E-9BB2-44F2-AE1F-50AAA84CDE35}" uniqueName="4" name="Team" queryTableFieldId="4" dataDxfId="12"/>
    <tableColumn id="5" xr3:uid="{DA5CDB97-8C8A-4F97-8ACD-16780235B931}" uniqueName="5" name="Time / Gap" queryTableFieldId="5" dataDxfId="11"/>
    <tableColumn id="6" xr3:uid="{CB1F2A5E-51A2-4458-BD6C-AD99B85DBDD4}" uniqueName="6" name="Laps" queryTableFieldId="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888018F-C641-474F-94DD-2A6796117818}" name="Table_1__24" displayName="Table_1__24" ref="K263:P285" tableType="queryTable" totalsRowShown="0">
  <autoFilter ref="K263:P285" xr:uid="{B888018F-C641-474F-94DD-2A6796117818}"/>
  <sortState xmlns:xlrd2="http://schemas.microsoft.com/office/spreadsheetml/2017/richdata2" ref="K264:P285">
    <sortCondition ref="L264:L285" customList="63,12,16,44,1,81,3,6"/>
  </sortState>
  <tableColumns count="6">
    <tableColumn id="1" xr3:uid="{4D55486D-D56D-4CEB-B491-E85DE2998DC0}" uniqueName="1" name="Pos." queryTableFieldId="1"/>
    <tableColumn id="2" xr3:uid="{9B044AD8-0BC7-43B2-8F1A-91F0E75B20A9}" uniqueName="2" name="No." queryTableFieldId="2"/>
    <tableColumn id="3" xr3:uid="{662E06F1-7631-4E0E-A56C-D8D5C2CBC475}" uniqueName="3" name="Driver" queryTableFieldId="3" dataDxfId="10"/>
    <tableColumn id="4" xr3:uid="{950DD38E-318B-479D-AB1E-C8A18BF519A8}" uniqueName="4" name="Team" queryTableFieldId="4" dataDxfId="9"/>
    <tableColumn id="5" xr3:uid="{BA7B2CB8-F2DB-4F96-8C4F-FED384680D09}" uniqueName="5" name="Time / Gap" queryTableFieldId="5" dataDxfId="8"/>
    <tableColumn id="6" xr3:uid="{CC3AB2F1-7D39-4FBD-9412-71A1370AF949}" uniqueName="6" name="Laps" queryTableFieldId="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27CDA86-3154-4B6D-B156-8021215EB440}" name="Table_1__25" displayName="Table_1__25" ref="T263:Y285" tableType="queryTable" totalsRowShown="0">
  <autoFilter ref="T263:Y285" xr:uid="{127CDA86-3154-4B6D-B156-8021215EB440}"/>
  <sortState xmlns:xlrd2="http://schemas.microsoft.com/office/spreadsheetml/2017/richdata2" ref="T264:Y285">
    <sortCondition ref="U264:U285" customList="63,12,16,44,1,81,3,6"/>
  </sortState>
  <tableColumns count="6">
    <tableColumn id="1" xr3:uid="{F6F19F19-C4E7-4625-A248-D57A18A37265}" uniqueName="1" name="Pos." queryTableFieldId="1"/>
    <tableColumn id="2" xr3:uid="{E6413293-0184-4E15-84F3-1A9F47FD7A28}" uniqueName="2" name="No." queryTableFieldId="2"/>
    <tableColumn id="3" xr3:uid="{79B6F740-E526-4603-981E-0D7A569B1616}" uniqueName="3" name="Driver" queryTableFieldId="3" dataDxfId="7"/>
    <tableColumn id="4" xr3:uid="{98C294A5-2A55-4150-A3A1-FA30189AF38B}" uniqueName="4" name="Team" queryTableFieldId="4" dataDxfId="6"/>
    <tableColumn id="5" xr3:uid="{AF9D4D2D-7D87-49A8-BA5E-D4CD34F2CB8B}" uniqueName="5" name="Time / Gap" queryTableFieldId="5" dataDxfId="5"/>
    <tableColumn id="6" xr3:uid="{CFC64993-FF57-4C66-AB21-95E370CD9ACD}" uniqueName="6" name="Laps" queryTableFieldId="6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D9426ED-9FE1-4997-BF3B-165D3E276DDD}" name="Table_1__26" displayName="Table_1__26" ref="A288:H310" tableType="queryTable" totalsRowShown="0">
  <sortState xmlns:xlrd2="http://schemas.microsoft.com/office/spreadsheetml/2017/richdata2" ref="A289:H310">
    <sortCondition ref="B289:B310" customList="63,12,16,44,1,81,3,6"/>
  </sortState>
  <tableColumns count="8">
    <tableColumn id="1" xr3:uid="{D6628BDF-7280-48A4-9BD5-F28A0E5E70B8}" uniqueName="1" name="Pos." queryTableFieldId="1"/>
    <tableColumn id="2" xr3:uid="{3F74AA29-690C-4190-9289-5FF54D0F55AE}" uniqueName="2" name="No." queryTableFieldId="2"/>
    <tableColumn id="3" xr3:uid="{B0D97E3E-8E6F-4679-8B68-C69667F5E7DD}" uniqueName="3" name="Driver" queryTableFieldId="3" dataDxfId="4"/>
    <tableColumn id="4" xr3:uid="{EB8ADD5C-D086-4570-83C1-A73572189993}" uniqueName="4" name="Team" queryTableFieldId="4" dataDxfId="3"/>
    <tableColumn id="5" xr3:uid="{140F3EFD-9A83-4C2D-B67A-7AB44F4AFF34}" uniqueName="5" name="Q1" queryTableFieldId="5" dataDxfId="2"/>
    <tableColumn id="6" xr3:uid="{41C701CF-8B56-4E14-8003-2C886AD4ACA6}" uniqueName="6" name="Q2" queryTableFieldId="6" dataDxfId="1"/>
    <tableColumn id="7" xr3:uid="{F7F4B503-8ABC-44E1-B8EE-3F214ED3FADE}" uniqueName="7" name="Q3" queryTableFieldId="7" dataDxfId="0"/>
    <tableColumn id="8" xr3:uid="{C1869F12-7519-4303-9305-CB57C3B5D307}" uniqueName="8" name="gap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9"/>
  <sheetViews>
    <sheetView tabSelected="1" workbookViewId="0">
      <pane ySplit="1" topLeftCell="A2" activePane="bottomLeft" state="frozen"/>
      <selection pane="bottomLeft" activeCell="I23" sqref="I23"/>
    </sheetView>
  </sheetViews>
  <sheetFormatPr defaultRowHeight="14.4" x14ac:dyDescent="0.3"/>
  <cols>
    <col min="1" max="6" width="10.88671875" customWidth="1"/>
    <col min="7" max="7" width="6.109375" bestFit="1" customWidth="1"/>
    <col min="8" max="8" width="5.44140625" customWidth="1"/>
    <col min="9" max="9" width="15.109375" customWidth="1"/>
    <col min="10" max="10" width="21.109375" customWidth="1"/>
    <col min="11" max="11" width="20.44140625" customWidth="1"/>
    <col min="12" max="12" width="14.88671875" customWidth="1"/>
    <col min="13" max="13" width="14.33203125" customWidth="1"/>
    <col min="14" max="14" width="13.44140625" customWidth="1"/>
    <col min="15" max="15" width="21.5546875" customWidth="1"/>
    <col min="16" max="16" width="27.109375" customWidth="1"/>
    <col min="17" max="17" width="11.77734375" customWidth="1"/>
    <col min="18" max="18" width="19.44140625" customWidth="1"/>
    <col min="19" max="19" width="18.88671875" customWidth="1"/>
    <col min="20" max="20" width="19.109375" customWidth="1"/>
    <col min="21" max="21" width="18.5546875" customWidth="1"/>
    <col min="22" max="22" width="10.109375" customWidth="1"/>
    <col min="23" max="23" width="13.77734375" customWidth="1"/>
    <col min="24" max="24" width="25.6640625" customWidth="1"/>
    <col min="25" max="25" width="32.6640625" customWidth="1"/>
    <col min="26" max="26" width="47.33203125" customWidth="1"/>
    <col min="27" max="32" width="17.6640625" customWidth="1"/>
    <col min="33" max="33" width="17.21875" bestFit="1" customWidth="1"/>
    <col min="34" max="34" width="11.6640625" bestFit="1" customWidth="1"/>
  </cols>
  <sheetData>
    <row r="1" spans="1:34" x14ac:dyDescent="0.3">
      <c r="A1" t="s">
        <v>77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152</v>
      </c>
      <c r="AE1" t="s">
        <v>153</v>
      </c>
      <c r="AF1" t="s">
        <v>154</v>
      </c>
      <c r="AG1" t="s">
        <v>23</v>
      </c>
      <c r="AH1" t="s">
        <v>24</v>
      </c>
    </row>
    <row r="2" spans="1:34" x14ac:dyDescent="0.3">
      <c r="A2">
        <v>1</v>
      </c>
      <c r="B2">
        <v>5</v>
      </c>
      <c r="C2">
        <v>4</v>
      </c>
      <c r="D2">
        <v>6</v>
      </c>
      <c r="E2">
        <v>4</v>
      </c>
      <c r="F2">
        <v>2100</v>
      </c>
      <c r="G2">
        <v>63</v>
      </c>
      <c r="H2">
        <v>1</v>
      </c>
      <c r="I2">
        <v>1</v>
      </c>
      <c r="J2">
        <v>10</v>
      </c>
      <c r="K2">
        <v>10</v>
      </c>
      <c r="L2">
        <v>10</v>
      </c>
      <c r="M2">
        <v>10</v>
      </c>
      <c r="N2">
        <v>0</v>
      </c>
      <c r="O2">
        <v>1</v>
      </c>
      <c r="P2">
        <v>1</v>
      </c>
      <c r="Q2">
        <v>0</v>
      </c>
      <c r="R2">
        <v>22</v>
      </c>
      <c r="S2">
        <v>22</v>
      </c>
      <c r="T2">
        <v>8</v>
      </c>
      <c r="U2">
        <v>6.5</v>
      </c>
      <c r="V2">
        <v>1</v>
      </c>
      <c r="W2">
        <v>3</v>
      </c>
      <c r="X2">
        <v>0</v>
      </c>
      <c r="Y2">
        <v>0</v>
      </c>
      <c r="Z2">
        <v>0</v>
      </c>
      <c r="AA2">
        <v>1.1040000000000001</v>
      </c>
      <c r="AB2" s="2">
        <f>'Round Data'!E3</f>
        <v>0.32</v>
      </c>
      <c r="AC2">
        <f>'Round Data'!E29</f>
        <v>0</v>
      </c>
      <c r="AD2">
        <v>0</v>
      </c>
      <c r="AE2">
        <v>0</v>
      </c>
      <c r="AF2">
        <v>0</v>
      </c>
      <c r="AG2" s="2">
        <f>'Round Data'!O3</f>
        <v>0</v>
      </c>
      <c r="AH2">
        <v>1</v>
      </c>
    </row>
    <row r="3" spans="1:34" x14ac:dyDescent="0.3">
      <c r="A3">
        <v>1</v>
      </c>
      <c r="B3">
        <v>5</v>
      </c>
      <c r="C3">
        <v>4</v>
      </c>
      <c r="D3">
        <v>6</v>
      </c>
      <c r="E3">
        <v>4</v>
      </c>
      <c r="F3">
        <v>2100</v>
      </c>
      <c r="G3">
        <v>12</v>
      </c>
      <c r="H3">
        <v>1</v>
      </c>
      <c r="I3">
        <v>1</v>
      </c>
      <c r="J3">
        <v>10</v>
      </c>
      <c r="K3">
        <v>10</v>
      </c>
      <c r="L3">
        <v>10</v>
      </c>
      <c r="M3">
        <v>10</v>
      </c>
      <c r="N3">
        <v>0</v>
      </c>
      <c r="O3">
        <v>1</v>
      </c>
      <c r="P3">
        <v>1</v>
      </c>
      <c r="Q3">
        <v>0</v>
      </c>
      <c r="R3">
        <v>22</v>
      </c>
      <c r="S3">
        <v>22</v>
      </c>
      <c r="T3">
        <v>3</v>
      </c>
      <c r="U3">
        <v>9</v>
      </c>
      <c r="V3">
        <v>0</v>
      </c>
      <c r="W3">
        <v>1</v>
      </c>
      <c r="X3">
        <v>0</v>
      </c>
      <c r="Y3">
        <v>0</v>
      </c>
      <c r="Z3">
        <v>0</v>
      </c>
      <c r="AA3">
        <v>1.109</v>
      </c>
      <c r="AB3" s="2">
        <f>'Round Data'!E4</f>
        <v>0.214</v>
      </c>
      <c r="AC3">
        <f>'Round Data'!E30</f>
        <v>1.2709999999999999</v>
      </c>
      <c r="AD3">
        <v>0</v>
      </c>
      <c r="AE3">
        <v>0</v>
      </c>
      <c r="AF3">
        <v>0</v>
      </c>
      <c r="AG3" s="2">
        <f>'Round Data'!O4</f>
        <v>0.29299999999999926</v>
      </c>
      <c r="AH3">
        <v>0</v>
      </c>
    </row>
    <row r="4" spans="1:34" x14ac:dyDescent="0.3">
      <c r="A4">
        <v>1</v>
      </c>
      <c r="B4">
        <v>5</v>
      </c>
      <c r="C4">
        <v>4</v>
      </c>
      <c r="D4">
        <v>6</v>
      </c>
      <c r="E4">
        <v>4</v>
      </c>
      <c r="F4">
        <v>2100</v>
      </c>
      <c r="G4">
        <v>16</v>
      </c>
      <c r="H4">
        <v>2</v>
      </c>
      <c r="I4">
        <v>2</v>
      </c>
      <c r="J4">
        <v>10</v>
      </c>
      <c r="K4">
        <v>10</v>
      </c>
      <c r="L4">
        <v>10</v>
      </c>
      <c r="M4">
        <v>10</v>
      </c>
      <c r="N4">
        <v>0</v>
      </c>
      <c r="O4">
        <v>1</v>
      </c>
      <c r="P4">
        <v>1</v>
      </c>
      <c r="Q4">
        <v>0</v>
      </c>
      <c r="R4">
        <v>22</v>
      </c>
      <c r="S4">
        <v>22</v>
      </c>
      <c r="T4">
        <v>5.33</v>
      </c>
      <c r="U4">
        <v>6.57</v>
      </c>
      <c r="V4">
        <v>1</v>
      </c>
      <c r="W4">
        <v>3</v>
      </c>
      <c r="X4">
        <v>0</v>
      </c>
      <c r="Y4">
        <v>0</v>
      </c>
      <c r="Z4">
        <v>0</v>
      </c>
      <c r="AA4">
        <v>0</v>
      </c>
      <c r="AB4" s="2">
        <f>'Round Data'!E5</f>
        <v>0.56200000000000006</v>
      </c>
      <c r="AC4">
        <f>'Round Data'!E31</f>
        <v>0.77400000000000002</v>
      </c>
      <c r="AD4">
        <v>0</v>
      </c>
      <c r="AE4">
        <v>0</v>
      </c>
      <c r="AF4">
        <v>0</v>
      </c>
      <c r="AG4" s="2">
        <f>'Round Data'!O5</f>
        <v>0.80900000000000105</v>
      </c>
      <c r="AH4">
        <v>0</v>
      </c>
    </row>
    <row r="5" spans="1:34" x14ac:dyDescent="0.3">
      <c r="A5">
        <v>1</v>
      </c>
      <c r="B5">
        <v>5</v>
      </c>
      <c r="C5">
        <v>4</v>
      </c>
      <c r="D5">
        <v>6</v>
      </c>
      <c r="E5">
        <v>4</v>
      </c>
      <c r="F5">
        <v>2100</v>
      </c>
      <c r="G5">
        <v>44</v>
      </c>
      <c r="H5">
        <v>2</v>
      </c>
      <c r="I5">
        <v>2</v>
      </c>
      <c r="J5">
        <v>10</v>
      </c>
      <c r="K5">
        <v>10</v>
      </c>
      <c r="L5">
        <v>10</v>
      </c>
      <c r="M5">
        <v>10</v>
      </c>
      <c r="N5">
        <v>0</v>
      </c>
      <c r="O5">
        <v>1</v>
      </c>
      <c r="P5">
        <v>1</v>
      </c>
      <c r="Q5">
        <v>0</v>
      </c>
      <c r="R5">
        <v>22</v>
      </c>
      <c r="S5">
        <v>22</v>
      </c>
      <c r="T5">
        <v>3.27</v>
      </c>
      <c r="U5">
        <v>4.4400000000000004</v>
      </c>
      <c r="V5">
        <v>2</v>
      </c>
      <c r="W5">
        <v>10</v>
      </c>
      <c r="X5">
        <v>0</v>
      </c>
      <c r="Y5">
        <v>0</v>
      </c>
      <c r="Z5">
        <v>0</v>
      </c>
      <c r="AA5">
        <v>0.46899999999999997</v>
      </c>
      <c r="AB5" s="2">
        <f>'Round Data'!E6</f>
        <v>0.32100000000000001</v>
      </c>
      <c r="AC5">
        <f>'Round Data'!E32</f>
        <v>0.61599999999999999</v>
      </c>
      <c r="AD5">
        <v>0</v>
      </c>
      <c r="AE5">
        <v>0</v>
      </c>
      <c r="AF5">
        <v>0</v>
      </c>
      <c r="AG5" s="2">
        <f>'Round Data'!O6</f>
        <v>0.96000000000000085</v>
      </c>
      <c r="AH5">
        <v>0</v>
      </c>
    </row>
    <row r="6" spans="1:34" x14ac:dyDescent="0.3">
      <c r="A6">
        <v>1</v>
      </c>
      <c r="B6">
        <v>5</v>
      </c>
      <c r="C6">
        <v>4</v>
      </c>
      <c r="D6">
        <v>6</v>
      </c>
      <c r="E6">
        <v>4</v>
      </c>
      <c r="F6">
        <v>2100</v>
      </c>
      <c r="G6">
        <v>1</v>
      </c>
      <c r="H6">
        <v>3</v>
      </c>
      <c r="I6">
        <v>1</v>
      </c>
      <c r="J6">
        <v>10</v>
      </c>
      <c r="K6">
        <v>10</v>
      </c>
      <c r="L6">
        <v>10</v>
      </c>
      <c r="M6">
        <v>10</v>
      </c>
      <c r="N6">
        <v>0</v>
      </c>
      <c r="O6">
        <v>1</v>
      </c>
      <c r="P6">
        <v>1</v>
      </c>
      <c r="Q6">
        <v>0</v>
      </c>
      <c r="R6">
        <v>22</v>
      </c>
      <c r="S6">
        <v>22</v>
      </c>
      <c r="T6">
        <v>5.33</v>
      </c>
      <c r="U6">
        <v>5.83</v>
      </c>
      <c r="V6">
        <v>1</v>
      </c>
      <c r="W6">
        <v>2</v>
      </c>
      <c r="X6">
        <v>0</v>
      </c>
      <c r="Y6">
        <v>0</v>
      </c>
      <c r="Z6">
        <v>0</v>
      </c>
      <c r="AA6">
        <v>4.1239999999999997</v>
      </c>
      <c r="AB6" s="2">
        <f>'Round Data'!E7</f>
        <v>1.0649999999999999</v>
      </c>
      <c r="AC6">
        <f>'Round Data'!E33</f>
        <v>1.39</v>
      </c>
      <c r="AD6">
        <v>0</v>
      </c>
      <c r="AE6">
        <v>0</v>
      </c>
      <c r="AF6">
        <v>0</v>
      </c>
      <c r="AG6" s="2">
        <f>'Round Data'!O7</f>
        <v>0.95700000000000074</v>
      </c>
      <c r="AH6">
        <v>0</v>
      </c>
    </row>
    <row r="7" spans="1:34" x14ac:dyDescent="0.3">
      <c r="A7">
        <v>1</v>
      </c>
      <c r="B7">
        <v>5</v>
      </c>
      <c r="C7">
        <v>4</v>
      </c>
      <c r="D7">
        <v>6</v>
      </c>
      <c r="E7">
        <v>4</v>
      </c>
      <c r="F7">
        <v>2100</v>
      </c>
      <c r="G7">
        <v>81</v>
      </c>
      <c r="H7">
        <v>3</v>
      </c>
      <c r="I7">
        <v>1</v>
      </c>
      <c r="J7">
        <v>10</v>
      </c>
      <c r="K7">
        <v>10</v>
      </c>
      <c r="L7">
        <v>10</v>
      </c>
      <c r="M7">
        <v>10</v>
      </c>
      <c r="N7">
        <v>0</v>
      </c>
      <c r="O7">
        <v>1</v>
      </c>
      <c r="P7">
        <v>1</v>
      </c>
      <c r="Q7">
        <v>0</v>
      </c>
      <c r="R7">
        <v>22</v>
      </c>
      <c r="S7">
        <v>22</v>
      </c>
      <c r="T7">
        <v>7</v>
      </c>
      <c r="U7">
        <v>7</v>
      </c>
      <c r="V7">
        <v>0</v>
      </c>
      <c r="W7">
        <v>0</v>
      </c>
      <c r="X7">
        <v>0</v>
      </c>
      <c r="Y7">
        <v>0</v>
      </c>
      <c r="Z7">
        <v>0</v>
      </c>
      <c r="AA7">
        <v>1.046</v>
      </c>
      <c r="AB7" s="2">
        <f>'Round Data'!E8</f>
        <v>0</v>
      </c>
      <c r="AC7">
        <f>'Round Data'!E34</f>
        <v>1.034</v>
      </c>
      <c r="AD7">
        <v>0</v>
      </c>
      <c r="AE7">
        <v>0</v>
      </c>
      <c r="AF7">
        <v>0</v>
      </c>
      <c r="AG7" s="2">
        <f>'Round Data'!O8</f>
        <v>0.86199999999999832</v>
      </c>
      <c r="AH7">
        <v>0</v>
      </c>
    </row>
    <row r="8" spans="1:34" x14ac:dyDescent="0.3">
      <c r="A8">
        <v>1</v>
      </c>
      <c r="B8">
        <v>5</v>
      </c>
      <c r="C8">
        <v>4</v>
      </c>
      <c r="D8">
        <v>6</v>
      </c>
      <c r="E8">
        <v>4</v>
      </c>
      <c r="F8">
        <v>2100</v>
      </c>
      <c r="G8">
        <v>3</v>
      </c>
      <c r="H8">
        <v>4</v>
      </c>
      <c r="I8">
        <v>3</v>
      </c>
      <c r="J8">
        <v>10</v>
      </c>
      <c r="K8">
        <v>10</v>
      </c>
      <c r="L8">
        <v>10</v>
      </c>
      <c r="M8">
        <v>10</v>
      </c>
      <c r="N8">
        <v>0</v>
      </c>
      <c r="O8">
        <v>1</v>
      </c>
      <c r="P8">
        <v>1</v>
      </c>
      <c r="Q8">
        <v>0</v>
      </c>
      <c r="R8">
        <v>22</v>
      </c>
      <c r="S8">
        <v>22</v>
      </c>
      <c r="T8">
        <v>4.71</v>
      </c>
      <c r="U8">
        <v>5.6</v>
      </c>
      <c r="V8">
        <v>1</v>
      </c>
      <c r="W8">
        <v>3</v>
      </c>
      <c r="X8">
        <v>0</v>
      </c>
      <c r="Y8">
        <v>0</v>
      </c>
      <c r="Z8">
        <v>0</v>
      </c>
      <c r="AA8">
        <v>0.52200000000000002</v>
      </c>
      <c r="AB8" s="2">
        <f>'Round Data'!E9</f>
        <v>0.63700000000000001</v>
      </c>
      <c r="AC8">
        <f>'Round Data'!E35</f>
        <v>1.1439999999999999</v>
      </c>
      <c r="AD8">
        <v>0</v>
      </c>
      <c r="AE8">
        <v>0</v>
      </c>
      <c r="AF8">
        <v>0</v>
      </c>
      <c r="AG8" s="2">
        <f>'Round Data'!O9</f>
        <v>41.481000000000002</v>
      </c>
      <c r="AH8">
        <v>0</v>
      </c>
    </row>
    <row r="9" spans="1:34" x14ac:dyDescent="0.3">
      <c r="A9">
        <v>1</v>
      </c>
      <c r="B9">
        <v>5</v>
      </c>
      <c r="C9">
        <v>4</v>
      </c>
      <c r="D9">
        <v>6</v>
      </c>
      <c r="E9">
        <v>4</v>
      </c>
      <c r="F9">
        <v>2100</v>
      </c>
      <c r="G9">
        <v>6</v>
      </c>
      <c r="H9">
        <v>4</v>
      </c>
      <c r="I9">
        <v>3</v>
      </c>
      <c r="J9">
        <v>10</v>
      </c>
      <c r="K9">
        <v>10</v>
      </c>
      <c r="L9">
        <v>10</v>
      </c>
      <c r="M9">
        <v>10</v>
      </c>
      <c r="N9">
        <v>0</v>
      </c>
      <c r="O9">
        <v>1</v>
      </c>
      <c r="P9">
        <v>1</v>
      </c>
      <c r="Q9">
        <v>0</v>
      </c>
      <c r="R9">
        <v>22</v>
      </c>
      <c r="S9">
        <v>22</v>
      </c>
      <c r="T9">
        <v>7</v>
      </c>
      <c r="U9">
        <v>20</v>
      </c>
      <c r="V9">
        <v>0</v>
      </c>
      <c r="W9">
        <v>0</v>
      </c>
      <c r="X9">
        <v>0</v>
      </c>
      <c r="Y9">
        <v>0</v>
      </c>
      <c r="Z9">
        <v>0</v>
      </c>
      <c r="AA9">
        <v>0.82</v>
      </c>
      <c r="AB9" s="2">
        <f>'Round Data'!E10</f>
        <v>1.212</v>
      </c>
      <c r="AC9">
        <f>'Round Data'!E36</f>
        <v>1.0840000000000001</v>
      </c>
      <c r="AD9">
        <v>0</v>
      </c>
      <c r="AE9">
        <v>0</v>
      </c>
      <c r="AF9">
        <v>0</v>
      </c>
      <c r="AG9" s="2">
        <f>'Round Data'!O10</f>
        <v>0.78500000000000014</v>
      </c>
      <c r="AH9">
        <v>0</v>
      </c>
    </row>
    <row r="10" spans="1:34" x14ac:dyDescent="0.3">
      <c r="A10">
        <v>2</v>
      </c>
      <c r="B10">
        <v>4</v>
      </c>
      <c r="C10">
        <v>4</v>
      </c>
      <c r="D10">
        <v>6</v>
      </c>
      <c r="E10">
        <v>6</v>
      </c>
      <c r="F10">
        <v>1935</v>
      </c>
      <c r="G10">
        <v>63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25</v>
      </c>
      <c r="O10">
        <v>1</v>
      </c>
      <c r="P10">
        <v>1</v>
      </c>
      <c r="Q10">
        <f>SUM(N10:N11)</f>
        <v>43</v>
      </c>
      <c r="R10">
        <f>SUM(J10:J11)/2</f>
        <v>1.5</v>
      </c>
      <c r="S10">
        <f>SUM(K10:K11)/2</f>
        <v>1.5</v>
      </c>
      <c r="T10">
        <v>6.75</v>
      </c>
      <c r="U10">
        <v>7.25</v>
      </c>
      <c r="V10">
        <v>0</v>
      </c>
      <c r="W10">
        <v>1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0.222</v>
      </c>
      <c r="AH10">
        <v>0</v>
      </c>
    </row>
    <row r="11" spans="1:34" x14ac:dyDescent="0.3">
      <c r="A11">
        <v>2</v>
      </c>
      <c r="B11">
        <v>4</v>
      </c>
      <c r="C11">
        <v>4</v>
      </c>
      <c r="D11">
        <v>6</v>
      </c>
      <c r="E11">
        <v>6</v>
      </c>
      <c r="F11">
        <v>1935</v>
      </c>
      <c r="G11">
        <v>12</v>
      </c>
      <c r="H11">
        <v>1</v>
      </c>
      <c r="I11">
        <v>1</v>
      </c>
      <c r="J11">
        <v>2</v>
      </c>
      <c r="K11">
        <v>2</v>
      </c>
      <c r="L11">
        <v>2</v>
      </c>
      <c r="M11">
        <v>2</v>
      </c>
      <c r="N11">
        <v>18</v>
      </c>
      <c r="O11">
        <v>2</v>
      </c>
      <c r="P11">
        <v>1</v>
      </c>
      <c r="Q11">
        <f>Q10</f>
        <v>43</v>
      </c>
      <c r="R11">
        <f>R10</f>
        <v>1.5</v>
      </c>
      <c r="S11">
        <f>S10</f>
        <v>1.5</v>
      </c>
      <c r="T11">
        <v>3.5</v>
      </c>
      <c r="U11">
        <v>4.5</v>
      </c>
      <c r="V11">
        <v>0</v>
      </c>
      <c r="W11">
        <v>0</v>
      </c>
      <c r="X11">
        <v>0</v>
      </c>
      <c r="Y11">
        <v>0</v>
      </c>
      <c r="Z11">
        <v>2</v>
      </c>
      <c r="AA11">
        <v>0.12</v>
      </c>
      <c r="AB11">
        <v>0</v>
      </c>
      <c r="AC11">
        <v>0</v>
      </c>
      <c r="AD11">
        <v>1</v>
      </c>
      <c r="AE11">
        <v>0.28899999999999998</v>
      </c>
      <c r="AF11">
        <v>5</v>
      </c>
      <c r="AG11">
        <v>0</v>
      </c>
      <c r="AH11">
        <v>1</v>
      </c>
    </row>
    <row r="12" spans="1:34" x14ac:dyDescent="0.3">
      <c r="A12">
        <v>2</v>
      </c>
      <c r="B12">
        <v>4</v>
      </c>
      <c r="C12">
        <v>4</v>
      </c>
      <c r="D12">
        <v>6</v>
      </c>
      <c r="E12">
        <v>6</v>
      </c>
      <c r="F12">
        <v>1935</v>
      </c>
      <c r="G12">
        <v>16</v>
      </c>
      <c r="H12">
        <v>2</v>
      </c>
      <c r="I12">
        <v>2</v>
      </c>
      <c r="J12">
        <v>3</v>
      </c>
      <c r="K12">
        <v>4</v>
      </c>
      <c r="L12">
        <v>3</v>
      </c>
      <c r="M12">
        <v>4</v>
      </c>
      <c r="N12">
        <v>15</v>
      </c>
      <c r="O12">
        <v>3</v>
      </c>
      <c r="P12">
        <v>2</v>
      </c>
      <c r="Q12">
        <f>N12+N13</f>
        <v>27</v>
      </c>
      <c r="R12">
        <f>(J12+J13)/2</f>
        <v>3.5</v>
      </c>
      <c r="S12">
        <f>(K12+K13)/2</f>
        <v>5.5</v>
      </c>
      <c r="T12">
        <v>8</v>
      </c>
      <c r="U12">
        <v>7.8</v>
      </c>
      <c r="V12">
        <v>0</v>
      </c>
      <c r="W12">
        <v>0</v>
      </c>
      <c r="X12">
        <v>0</v>
      </c>
      <c r="Y12">
        <v>0</v>
      </c>
      <c r="Z12">
        <v>1</v>
      </c>
      <c r="AA12">
        <v>0.85799999999999998</v>
      </c>
      <c r="AB12">
        <v>0</v>
      </c>
      <c r="AC12">
        <v>0</v>
      </c>
      <c r="AD12">
        <v>1</v>
      </c>
      <c r="AE12">
        <v>1.008</v>
      </c>
      <c r="AF12">
        <v>2</v>
      </c>
      <c r="AG12">
        <v>0.36399999999999999</v>
      </c>
      <c r="AH12">
        <v>0</v>
      </c>
    </row>
    <row r="13" spans="1:34" x14ac:dyDescent="0.3">
      <c r="A13">
        <v>2</v>
      </c>
      <c r="B13">
        <v>4</v>
      </c>
      <c r="C13">
        <v>4</v>
      </c>
      <c r="D13">
        <v>6</v>
      </c>
      <c r="E13">
        <v>6</v>
      </c>
      <c r="F13">
        <v>1935</v>
      </c>
      <c r="G13">
        <v>44</v>
      </c>
      <c r="H13">
        <v>2</v>
      </c>
      <c r="I13">
        <v>2</v>
      </c>
      <c r="J13">
        <v>4</v>
      </c>
      <c r="K13">
        <v>7</v>
      </c>
      <c r="L13">
        <v>4</v>
      </c>
      <c r="M13">
        <v>7</v>
      </c>
      <c r="N13">
        <v>12</v>
      </c>
      <c r="O13">
        <v>4</v>
      </c>
      <c r="P13">
        <v>2</v>
      </c>
      <c r="Q13">
        <f>Q12</f>
        <v>27</v>
      </c>
      <c r="R13">
        <f>R12</f>
        <v>3.5</v>
      </c>
      <c r="S13">
        <f>S12</f>
        <v>5.5</v>
      </c>
      <c r="T13">
        <v>3.07</v>
      </c>
      <c r="U13">
        <v>5.31</v>
      </c>
      <c r="V13">
        <v>6</v>
      </c>
      <c r="W13">
        <v>10</v>
      </c>
      <c r="X13">
        <v>0</v>
      </c>
      <c r="Y13">
        <v>0</v>
      </c>
      <c r="Z13">
        <v>1</v>
      </c>
      <c r="AA13">
        <v>1.3879999999999999</v>
      </c>
      <c r="AB13">
        <v>0</v>
      </c>
      <c r="AC13">
        <v>0</v>
      </c>
      <c r="AD13">
        <v>1</v>
      </c>
      <c r="AE13">
        <v>0.64100000000000001</v>
      </c>
      <c r="AF13">
        <v>3</v>
      </c>
      <c r="AG13">
        <v>0.315</v>
      </c>
      <c r="AH13">
        <v>0</v>
      </c>
    </row>
    <row r="14" spans="1:34" x14ac:dyDescent="0.3">
      <c r="A14">
        <v>2</v>
      </c>
      <c r="B14">
        <v>4</v>
      </c>
      <c r="C14">
        <v>4</v>
      </c>
      <c r="D14">
        <v>6</v>
      </c>
      <c r="E14">
        <v>6</v>
      </c>
      <c r="F14">
        <v>1935</v>
      </c>
      <c r="G14">
        <v>1</v>
      </c>
      <c r="H14">
        <v>3</v>
      </c>
      <c r="I14">
        <v>1</v>
      </c>
      <c r="J14">
        <v>5</v>
      </c>
      <c r="K14">
        <v>6</v>
      </c>
      <c r="L14">
        <v>5</v>
      </c>
      <c r="M14">
        <v>6</v>
      </c>
      <c r="N14">
        <v>10</v>
      </c>
      <c r="O14">
        <v>5</v>
      </c>
      <c r="P14">
        <v>3</v>
      </c>
      <c r="Q14">
        <f>N14+N15</f>
        <v>10</v>
      </c>
      <c r="R14">
        <f>(J14+J15)/2</f>
        <v>13</v>
      </c>
      <c r="S14">
        <f>(K14+K15)/2</f>
        <v>5.5</v>
      </c>
      <c r="T14">
        <v>7.33</v>
      </c>
      <c r="U14">
        <v>7</v>
      </c>
      <c r="V14">
        <v>0</v>
      </c>
      <c r="W14">
        <v>2</v>
      </c>
      <c r="X14">
        <v>0</v>
      </c>
      <c r="Y14">
        <v>1</v>
      </c>
      <c r="Z14">
        <v>2</v>
      </c>
      <c r="AA14">
        <v>0.55500000000000005</v>
      </c>
      <c r="AB14">
        <v>0</v>
      </c>
      <c r="AC14">
        <v>0</v>
      </c>
      <c r="AD14">
        <v>1</v>
      </c>
      <c r="AE14">
        <v>0.621</v>
      </c>
      <c r="AF14">
        <v>4</v>
      </c>
      <c r="AG14">
        <v>0.54400000000000004</v>
      </c>
      <c r="AH14">
        <v>0</v>
      </c>
    </row>
    <row r="15" spans="1:34" x14ac:dyDescent="0.3">
      <c r="A15">
        <v>2</v>
      </c>
      <c r="B15">
        <v>4</v>
      </c>
      <c r="C15">
        <v>4</v>
      </c>
      <c r="D15">
        <v>6</v>
      </c>
      <c r="E15">
        <v>6</v>
      </c>
      <c r="F15">
        <v>1935</v>
      </c>
      <c r="G15">
        <v>81</v>
      </c>
      <c r="H15">
        <v>3</v>
      </c>
      <c r="I15">
        <v>1</v>
      </c>
      <c r="J15">
        <v>21</v>
      </c>
      <c r="K15">
        <v>5</v>
      </c>
      <c r="L15">
        <v>21</v>
      </c>
      <c r="M15">
        <v>5</v>
      </c>
      <c r="N15">
        <v>0</v>
      </c>
      <c r="O15">
        <v>21</v>
      </c>
      <c r="P15">
        <v>3</v>
      </c>
      <c r="Q15">
        <f>Q14</f>
        <v>10</v>
      </c>
      <c r="R15">
        <f>R14</f>
        <v>13</v>
      </c>
      <c r="S15">
        <f>S14</f>
        <v>5.5</v>
      </c>
      <c r="T15">
        <v>4.5</v>
      </c>
      <c r="U15">
        <v>3.67</v>
      </c>
      <c r="V15">
        <v>1</v>
      </c>
      <c r="W15">
        <v>1</v>
      </c>
      <c r="X15">
        <v>1</v>
      </c>
      <c r="Y15">
        <v>1</v>
      </c>
      <c r="Z15">
        <v>2</v>
      </c>
      <c r="AA15">
        <v>0.73099999999999998</v>
      </c>
      <c r="AB15">
        <v>0</v>
      </c>
      <c r="AC15">
        <v>0</v>
      </c>
      <c r="AD15">
        <v>1</v>
      </c>
      <c r="AE15">
        <v>0.70399999999999996</v>
      </c>
      <c r="AF15">
        <v>6</v>
      </c>
      <c r="AG15">
        <v>0.48599999999999999</v>
      </c>
      <c r="AH15">
        <v>0</v>
      </c>
    </row>
    <row r="16" spans="1:34" x14ac:dyDescent="0.3">
      <c r="A16">
        <v>2</v>
      </c>
      <c r="B16">
        <v>4</v>
      </c>
      <c r="C16">
        <v>4</v>
      </c>
      <c r="D16">
        <v>6</v>
      </c>
      <c r="E16">
        <v>6</v>
      </c>
      <c r="F16">
        <v>1935</v>
      </c>
      <c r="G16">
        <v>3</v>
      </c>
      <c r="H16">
        <v>4</v>
      </c>
      <c r="I16">
        <v>3</v>
      </c>
      <c r="J16">
        <v>6</v>
      </c>
      <c r="K16">
        <v>20</v>
      </c>
      <c r="L16">
        <v>6</v>
      </c>
      <c r="M16">
        <v>20</v>
      </c>
      <c r="N16">
        <v>8</v>
      </c>
      <c r="O16">
        <v>6</v>
      </c>
      <c r="P16">
        <v>4</v>
      </c>
      <c r="Q16">
        <f>SUM(N16:N17)</f>
        <v>8</v>
      </c>
      <c r="R16">
        <f>SUM(J16:J17)/2</f>
        <v>13</v>
      </c>
      <c r="S16">
        <f>SUM(K16:K17)/2</f>
        <v>11.5</v>
      </c>
      <c r="T16">
        <v>6</v>
      </c>
      <c r="U16">
        <v>7.63</v>
      </c>
      <c r="V16">
        <v>1</v>
      </c>
      <c r="W16">
        <v>2</v>
      </c>
      <c r="X16">
        <v>0</v>
      </c>
      <c r="Y16">
        <v>0</v>
      </c>
      <c r="Z16">
        <v>1</v>
      </c>
      <c r="AA16">
        <v>1.8</v>
      </c>
      <c r="AB16">
        <v>0</v>
      </c>
      <c r="AC16">
        <v>0</v>
      </c>
      <c r="AD16">
        <v>1</v>
      </c>
      <c r="AE16">
        <v>1.734</v>
      </c>
      <c r="AF16">
        <v>9</v>
      </c>
      <c r="AG16">
        <v>0.93799999999999994</v>
      </c>
      <c r="AH16">
        <v>0</v>
      </c>
    </row>
    <row r="17" spans="1:34" x14ac:dyDescent="0.3">
      <c r="A17">
        <v>2</v>
      </c>
      <c r="B17">
        <v>4</v>
      </c>
      <c r="C17">
        <v>4</v>
      </c>
      <c r="D17">
        <v>6</v>
      </c>
      <c r="E17">
        <v>6</v>
      </c>
      <c r="F17">
        <v>1935</v>
      </c>
      <c r="G17">
        <v>6</v>
      </c>
      <c r="H17">
        <v>4</v>
      </c>
      <c r="I17">
        <v>3</v>
      </c>
      <c r="J17">
        <v>20</v>
      </c>
      <c r="K17">
        <v>3</v>
      </c>
      <c r="L17">
        <v>20</v>
      </c>
      <c r="M17">
        <v>3</v>
      </c>
      <c r="N17">
        <v>0</v>
      </c>
      <c r="O17">
        <v>14</v>
      </c>
      <c r="P17">
        <v>4</v>
      </c>
      <c r="Q17">
        <f>Q16</f>
        <v>8</v>
      </c>
      <c r="R17">
        <f>R16</f>
        <v>13</v>
      </c>
      <c r="S17">
        <f>S16</f>
        <v>11.5</v>
      </c>
      <c r="T17">
        <v>9.5</v>
      </c>
      <c r="U17">
        <v>8</v>
      </c>
      <c r="V17">
        <v>0</v>
      </c>
      <c r="W17">
        <v>0</v>
      </c>
      <c r="X17">
        <v>1</v>
      </c>
      <c r="Y17">
        <v>1</v>
      </c>
      <c r="Z17">
        <v>1</v>
      </c>
      <c r="AA17">
        <v>2.1150000000000002</v>
      </c>
      <c r="AB17">
        <v>0</v>
      </c>
      <c r="AC17">
        <v>0</v>
      </c>
      <c r="AD17">
        <v>1</v>
      </c>
      <c r="AE17">
        <v>2.2029999999999998</v>
      </c>
      <c r="AF17">
        <v>15</v>
      </c>
      <c r="AG17">
        <v>1.288</v>
      </c>
      <c r="AH17">
        <v>0</v>
      </c>
    </row>
    <row r="18" spans="1:34" x14ac:dyDescent="0.3">
      <c r="A18">
        <v>3</v>
      </c>
      <c r="B18">
        <v>2</v>
      </c>
      <c r="C18">
        <v>6</v>
      </c>
      <c r="D18">
        <v>8</v>
      </c>
      <c r="E18">
        <v>4</v>
      </c>
      <c r="F18">
        <v>1800</v>
      </c>
      <c r="G18">
        <v>63</v>
      </c>
      <c r="H18">
        <v>1</v>
      </c>
      <c r="I18">
        <v>1</v>
      </c>
      <c r="J18">
        <v>1.5</v>
      </c>
      <c r="K18">
        <v>1.5</v>
      </c>
      <c r="L18">
        <v>1.5</v>
      </c>
      <c r="M18">
        <v>1.5</v>
      </c>
      <c r="N18">
        <v>43</v>
      </c>
      <c r="O18">
        <v>1</v>
      </c>
      <c r="P18">
        <v>1</v>
      </c>
      <c r="Q18">
        <f>SUM(N18:N19)</f>
        <v>86</v>
      </c>
      <c r="R18">
        <f>SUM(J18:J19)/2</f>
        <v>1.5</v>
      </c>
      <c r="S18">
        <f t="shared" ref="S18" si="0">SUM(K18:K19)/2</f>
        <v>1.5</v>
      </c>
      <c r="T18">
        <v>7.83</v>
      </c>
      <c r="U18">
        <v>8.33</v>
      </c>
      <c r="V18">
        <v>0</v>
      </c>
      <c r="W18">
        <v>0</v>
      </c>
      <c r="X18">
        <v>0</v>
      </c>
      <c r="Y18">
        <v>0</v>
      </c>
      <c r="Z18">
        <v>5</v>
      </c>
      <c r="AA18">
        <f>'Round Data'!E56</f>
        <v>0</v>
      </c>
      <c r="AB18">
        <f>'Round Data'!L56</f>
        <v>0.20499999999999999</v>
      </c>
      <c r="AC18">
        <f>'Round Data'!T56</f>
        <v>0.254</v>
      </c>
      <c r="AD18">
        <v>0</v>
      </c>
      <c r="AE18">
        <v>0</v>
      </c>
      <c r="AF18">
        <v>0</v>
      </c>
      <c r="AG18">
        <f>'Round Data'!H81</f>
        <v>0.29800000000000182</v>
      </c>
      <c r="AH18">
        <v>0</v>
      </c>
    </row>
    <row r="19" spans="1:34" x14ac:dyDescent="0.3">
      <c r="A19">
        <v>3</v>
      </c>
      <c r="B19">
        <v>2</v>
      </c>
      <c r="C19">
        <v>6</v>
      </c>
      <c r="D19">
        <v>8</v>
      </c>
      <c r="E19">
        <v>4</v>
      </c>
      <c r="F19">
        <v>1800</v>
      </c>
      <c r="G19">
        <v>12</v>
      </c>
      <c r="H19">
        <v>1</v>
      </c>
      <c r="I19">
        <v>1</v>
      </c>
      <c r="J19">
        <v>1.5</v>
      </c>
      <c r="K19">
        <v>1.5</v>
      </c>
      <c r="L19">
        <v>1.5</v>
      </c>
      <c r="M19">
        <v>1.5</v>
      </c>
      <c r="N19">
        <v>43</v>
      </c>
      <c r="O19">
        <v>2</v>
      </c>
      <c r="P19">
        <v>1</v>
      </c>
      <c r="Q19">
        <f>Q18</f>
        <v>86</v>
      </c>
      <c r="R19">
        <f>R18</f>
        <v>1.5</v>
      </c>
      <c r="S19">
        <f>S18</f>
        <v>1.5</v>
      </c>
      <c r="T19">
        <v>3.5</v>
      </c>
      <c r="U19">
        <v>3.5</v>
      </c>
      <c r="V19">
        <v>0</v>
      </c>
      <c r="W19">
        <v>0</v>
      </c>
      <c r="X19">
        <v>0</v>
      </c>
      <c r="Y19">
        <v>0</v>
      </c>
      <c r="Z19">
        <f>Z11+3</f>
        <v>5</v>
      </c>
      <c r="AA19">
        <f>'Round Data'!E57</f>
        <v>2.5999999999999999E-2</v>
      </c>
      <c r="AB19">
        <f>'Round Data'!L57</f>
        <v>9.1999999999999998E-2</v>
      </c>
      <c r="AC19">
        <f>'Round Data'!T57</f>
        <v>0</v>
      </c>
      <c r="AD19">
        <v>0</v>
      </c>
      <c r="AE19">
        <v>0</v>
      </c>
      <c r="AF19">
        <v>0</v>
      </c>
      <c r="AG19">
        <f>'Round Data'!H82</f>
        <v>0</v>
      </c>
      <c r="AH19">
        <v>1</v>
      </c>
    </row>
    <row r="20" spans="1:34" x14ac:dyDescent="0.3">
      <c r="A20">
        <v>3</v>
      </c>
      <c r="B20">
        <v>2</v>
      </c>
      <c r="C20">
        <v>6</v>
      </c>
      <c r="D20">
        <v>8</v>
      </c>
      <c r="E20">
        <v>4</v>
      </c>
      <c r="F20">
        <v>1800</v>
      </c>
      <c r="G20">
        <v>16</v>
      </c>
      <c r="H20">
        <v>2</v>
      </c>
      <c r="I20">
        <v>2</v>
      </c>
      <c r="J20">
        <v>3.5</v>
      </c>
      <c r="K20">
        <v>4</v>
      </c>
      <c r="L20">
        <v>3.5</v>
      </c>
      <c r="M20">
        <v>4</v>
      </c>
      <c r="N20">
        <f>N12+19</f>
        <v>34</v>
      </c>
      <c r="O20">
        <v>3</v>
      </c>
      <c r="P20">
        <v>2</v>
      </c>
      <c r="Q20">
        <f t="shared" ref="Q20" si="1">N20+N21</f>
        <v>61</v>
      </c>
      <c r="R20">
        <f>(J20+J21)/2</f>
        <v>3.5</v>
      </c>
      <c r="S20">
        <f>(K20+K21)/2</f>
        <v>4.5</v>
      </c>
      <c r="T20">
        <v>4</v>
      </c>
      <c r="U20">
        <v>4.8600000000000003</v>
      </c>
      <c r="V20">
        <v>0</v>
      </c>
      <c r="W20">
        <v>2</v>
      </c>
      <c r="X20">
        <v>0</v>
      </c>
      <c r="Y20">
        <v>0</v>
      </c>
      <c r="Z20">
        <v>1</v>
      </c>
      <c r="AA20">
        <f>'Round Data'!E58</f>
        <v>0.28899999999999998</v>
      </c>
      <c r="AB20">
        <f>'Round Data'!L58</f>
        <v>0.71299999999999997</v>
      </c>
      <c r="AC20">
        <f>'Round Data'!T58</f>
        <v>0.86699999999999999</v>
      </c>
      <c r="AD20">
        <v>0</v>
      </c>
      <c r="AE20">
        <v>0</v>
      </c>
      <c r="AF20">
        <v>0</v>
      </c>
      <c r="AG20">
        <f>'Round Data'!H83</f>
        <v>0.62700000000000244</v>
      </c>
      <c r="AH20">
        <v>0</v>
      </c>
    </row>
    <row r="21" spans="1:34" x14ac:dyDescent="0.3">
      <c r="A21">
        <v>3</v>
      </c>
      <c r="B21">
        <v>2</v>
      </c>
      <c r="C21">
        <v>6</v>
      </c>
      <c r="D21">
        <v>8</v>
      </c>
      <c r="E21">
        <v>4</v>
      </c>
      <c r="F21">
        <v>1800</v>
      </c>
      <c r="G21">
        <v>44</v>
      </c>
      <c r="H21">
        <v>2</v>
      </c>
      <c r="I21">
        <v>2</v>
      </c>
      <c r="J21">
        <v>3.5</v>
      </c>
      <c r="K21">
        <v>5</v>
      </c>
      <c r="L21">
        <v>3.5</v>
      </c>
      <c r="M21">
        <v>5</v>
      </c>
      <c r="N21">
        <v>27</v>
      </c>
      <c r="O21">
        <v>4</v>
      </c>
      <c r="P21">
        <v>2</v>
      </c>
      <c r="Q21">
        <f>Q20</f>
        <v>61</v>
      </c>
      <c r="R21">
        <f>R20</f>
        <v>3.5</v>
      </c>
      <c r="S21">
        <f>S20</f>
        <v>4.5</v>
      </c>
      <c r="T21">
        <v>4</v>
      </c>
      <c r="U21">
        <v>4.5</v>
      </c>
      <c r="V21">
        <v>5</v>
      </c>
      <c r="W21">
        <v>7</v>
      </c>
      <c r="X21">
        <v>0</v>
      </c>
      <c r="Y21">
        <v>0</v>
      </c>
      <c r="Z21">
        <v>1</v>
      </c>
      <c r="AA21">
        <f>'Round Data'!E59</f>
        <v>0.374</v>
      </c>
      <c r="AB21">
        <f>'Round Data'!L59</f>
        <v>0.84699999999999998</v>
      </c>
      <c r="AC21">
        <f>'Round Data'!T59</f>
        <v>1.0209999999999999</v>
      </c>
      <c r="AD21">
        <v>0</v>
      </c>
      <c r="AE21">
        <v>0</v>
      </c>
      <c r="AF21">
        <v>0</v>
      </c>
      <c r="AG21">
        <f>'Round Data'!H84</f>
        <v>0.78900000000000148</v>
      </c>
      <c r="AH21">
        <v>0</v>
      </c>
    </row>
    <row r="22" spans="1:34" x14ac:dyDescent="0.3">
      <c r="A22">
        <v>3</v>
      </c>
      <c r="B22">
        <v>2</v>
      </c>
      <c r="C22">
        <v>6</v>
      </c>
      <c r="D22">
        <v>8</v>
      </c>
      <c r="E22">
        <v>4</v>
      </c>
      <c r="F22">
        <v>1800</v>
      </c>
      <c r="G22">
        <v>1</v>
      </c>
      <c r="H22">
        <v>3</v>
      </c>
      <c r="I22">
        <v>1</v>
      </c>
      <c r="J22">
        <v>12.5</v>
      </c>
      <c r="K22">
        <v>6</v>
      </c>
      <c r="L22">
        <v>12.5</v>
      </c>
      <c r="M22">
        <v>6</v>
      </c>
      <c r="N22">
        <v>15</v>
      </c>
      <c r="O22">
        <v>5</v>
      </c>
      <c r="P22">
        <v>3</v>
      </c>
      <c r="Q22">
        <f t="shared" ref="Q22" si="2">N22+N23</f>
        <v>18</v>
      </c>
      <c r="R22">
        <f t="shared" ref="R22" si="3">(J22+J23)/2</f>
        <v>16.25</v>
      </c>
      <c r="S22">
        <f t="shared" ref="S22" si="4">(K22+K23)/2</f>
        <v>5.5</v>
      </c>
      <c r="T22">
        <v>5.83</v>
      </c>
      <c r="U22">
        <v>5.17</v>
      </c>
      <c r="V22">
        <v>0</v>
      </c>
      <c r="W22">
        <v>2</v>
      </c>
      <c r="X22">
        <v>1</v>
      </c>
      <c r="Y22">
        <v>3</v>
      </c>
      <c r="Z22">
        <f t="shared" ref="Z22:Z23" si="5">Z14+3</f>
        <v>5</v>
      </c>
      <c r="AA22">
        <f>'Round Data'!E60</f>
        <v>0.13200000000000001</v>
      </c>
      <c r="AB22">
        <f>'Round Data'!L60</f>
        <v>0.51600000000000001</v>
      </c>
      <c r="AC22">
        <f>'Round Data'!T60</f>
        <v>1.238</v>
      </c>
      <c r="AD22">
        <v>0</v>
      </c>
      <c r="AE22">
        <v>0</v>
      </c>
      <c r="AF22">
        <v>0</v>
      </c>
      <c r="AG22">
        <f>'Round Data'!H85</f>
        <v>0.63100000000000023</v>
      </c>
      <c r="AH22">
        <v>0</v>
      </c>
    </row>
    <row r="23" spans="1:34" x14ac:dyDescent="0.3">
      <c r="A23">
        <v>3</v>
      </c>
      <c r="B23">
        <v>2</v>
      </c>
      <c r="C23">
        <v>6</v>
      </c>
      <c r="D23">
        <v>8</v>
      </c>
      <c r="E23">
        <v>4</v>
      </c>
      <c r="F23">
        <v>1800</v>
      </c>
      <c r="G23">
        <v>81</v>
      </c>
      <c r="H23">
        <v>3</v>
      </c>
      <c r="I23">
        <v>1</v>
      </c>
      <c r="J23">
        <v>20</v>
      </c>
      <c r="K23">
        <v>5</v>
      </c>
      <c r="L23">
        <v>20</v>
      </c>
      <c r="M23">
        <v>5</v>
      </c>
      <c r="N23">
        <v>3</v>
      </c>
      <c r="O23">
        <v>20</v>
      </c>
      <c r="P23">
        <v>3</v>
      </c>
      <c r="Q23">
        <f>Q22</f>
        <v>18</v>
      </c>
      <c r="R23">
        <f>R22</f>
        <v>16.25</v>
      </c>
      <c r="S23">
        <f>S22</f>
        <v>5.5</v>
      </c>
      <c r="T23">
        <v>4</v>
      </c>
      <c r="U23">
        <v>3.5</v>
      </c>
      <c r="V23">
        <v>0</v>
      </c>
      <c r="W23">
        <v>3</v>
      </c>
      <c r="X23">
        <v>2</v>
      </c>
      <c r="Y23">
        <v>3</v>
      </c>
      <c r="Z23">
        <f t="shared" si="5"/>
        <v>5</v>
      </c>
      <c r="AA23">
        <f>'Round Data'!E61</f>
        <v>0.19900000000000001</v>
      </c>
      <c r="AB23">
        <f>'Round Data'!L61</f>
        <v>0</v>
      </c>
      <c r="AC23">
        <f>'Round Data'!T61</f>
        <v>1.002</v>
      </c>
      <c r="AD23">
        <v>0</v>
      </c>
      <c r="AE23">
        <v>0</v>
      </c>
      <c r="AF23">
        <v>0</v>
      </c>
      <c r="AG23">
        <f>'Round Data'!H86</f>
        <v>0.35400000000000276</v>
      </c>
      <c r="AH23">
        <v>0</v>
      </c>
    </row>
    <row r="24" spans="1:34" x14ac:dyDescent="0.3">
      <c r="A24">
        <v>3</v>
      </c>
      <c r="B24">
        <v>2</v>
      </c>
      <c r="C24">
        <v>6</v>
      </c>
      <c r="D24">
        <v>8</v>
      </c>
      <c r="E24">
        <v>4</v>
      </c>
      <c r="F24">
        <v>1800</v>
      </c>
      <c r="G24">
        <v>3</v>
      </c>
      <c r="H24">
        <v>4</v>
      </c>
      <c r="I24">
        <v>3</v>
      </c>
      <c r="J24">
        <v>11</v>
      </c>
      <c r="K24">
        <v>14</v>
      </c>
      <c r="L24">
        <v>11</v>
      </c>
      <c r="M24">
        <v>14</v>
      </c>
      <c r="N24">
        <v>8</v>
      </c>
      <c r="O24">
        <v>10</v>
      </c>
      <c r="P24">
        <v>4</v>
      </c>
      <c r="Q24">
        <f t="shared" ref="Q24" si="6">SUM(N24:N25)</f>
        <v>12</v>
      </c>
      <c r="R24">
        <f t="shared" ref="R24" si="7">SUM(J24:J25)/2</f>
        <v>12.5</v>
      </c>
      <c r="S24">
        <f t="shared" ref="S24" si="8">SUM(K24:K25)/2</f>
        <v>10</v>
      </c>
      <c r="T24">
        <v>3.11</v>
      </c>
      <c r="U24">
        <v>4.7</v>
      </c>
      <c r="V24">
        <v>4</v>
      </c>
      <c r="W24">
        <v>7</v>
      </c>
      <c r="X24">
        <v>1</v>
      </c>
      <c r="Y24">
        <v>2</v>
      </c>
      <c r="Z24">
        <v>2</v>
      </c>
      <c r="AA24">
        <f>'Round Data'!E62</f>
        <v>0.79100000000000004</v>
      </c>
      <c r="AB24">
        <f>'Round Data'!L62</f>
        <v>1.3759999999999999</v>
      </c>
      <c r="AC24">
        <f>'Round Data'!T62</f>
        <v>1.548</v>
      </c>
      <c r="AD24">
        <v>0</v>
      </c>
      <c r="AE24">
        <v>0</v>
      </c>
      <c r="AF24">
        <v>0</v>
      </c>
      <c r="AG24">
        <f>'Round Data'!H87</f>
        <v>1.4840000000000018</v>
      </c>
      <c r="AH24">
        <v>0</v>
      </c>
    </row>
    <row r="25" spans="1:34" x14ac:dyDescent="0.3">
      <c r="A25">
        <v>3</v>
      </c>
      <c r="B25">
        <v>2</v>
      </c>
      <c r="C25">
        <v>6</v>
      </c>
      <c r="D25">
        <v>8</v>
      </c>
      <c r="E25">
        <v>4</v>
      </c>
      <c r="F25">
        <v>1800</v>
      </c>
      <c r="G25">
        <v>6</v>
      </c>
      <c r="H25">
        <v>4</v>
      </c>
      <c r="I25">
        <v>3</v>
      </c>
      <c r="J25">
        <v>14</v>
      </c>
      <c r="K25">
        <v>6</v>
      </c>
      <c r="L25">
        <v>14</v>
      </c>
      <c r="M25">
        <v>6</v>
      </c>
      <c r="N25">
        <v>4</v>
      </c>
      <c r="O25">
        <v>12</v>
      </c>
      <c r="P25">
        <v>4</v>
      </c>
      <c r="Q25">
        <f>Q24</f>
        <v>12</v>
      </c>
      <c r="R25">
        <f>R24</f>
        <v>12.5</v>
      </c>
      <c r="S25">
        <f>S24</f>
        <v>10</v>
      </c>
      <c r="T25">
        <v>10</v>
      </c>
      <c r="U25">
        <v>7.5</v>
      </c>
      <c r="V25">
        <v>0</v>
      </c>
      <c r="W25">
        <v>0</v>
      </c>
      <c r="X25">
        <v>1</v>
      </c>
      <c r="Y25">
        <v>2</v>
      </c>
      <c r="Z25">
        <v>2</v>
      </c>
      <c r="AA25">
        <f>'Round Data'!E63</f>
        <v>1.137</v>
      </c>
      <c r="AB25">
        <f>'Round Data'!L63</f>
        <v>1.6259999999999999</v>
      </c>
      <c r="AC25">
        <f>'Round Data'!T63</f>
        <v>1.732</v>
      </c>
      <c r="AD25">
        <v>0</v>
      </c>
      <c r="AE25">
        <v>0</v>
      </c>
      <c r="AF25">
        <v>0</v>
      </c>
      <c r="AG25">
        <f>'Round Data'!H88</f>
        <v>1.2000000000000028</v>
      </c>
      <c r="AH25">
        <v>0</v>
      </c>
    </row>
    <row r="26" spans="1:34" x14ac:dyDescent="0.3">
      <c r="A26">
        <v>4</v>
      </c>
      <c r="B26">
        <v>3</v>
      </c>
      <c r="C26">
        <v>6</v>
      </c>
      <c r="D26">
        <v>7</v>
      </c>
      <c r="E26">
        <v>6</v>
      </c>
      <c r="F26">
        <v>3100</v>
      </c>
      <c r="G26">
        <v>63</v>
      </c>
      <c r="H26">
        <v>1</v>
      </c>
      <c r="I26">
        <v>1</v>
      </c>
      <c r="J26">
        <v>2.3333333333333335</v>
      </c>
      <c r="K26">
        <v>1.6666666666666667</v>
      </c>
      <c r="L26">
        <v>2.3333333333333335</v>
      </c>
      <c r="M26">
        <v>1.6666666666666667</v>
      </c>
      <c r="N26">
        <v>55</v>
      </c>
      <c r="O26">
        <v>2</v>
      </c>
      <c r="P26">
        <v>1</v>
      </c>
      <c r="Q26">
        <f t="shared" ref="Q26" si="9">SUM(N26:N27)</f>
        <v>123</v>
      </c>
      <c r="R26">
        <f t="shared" ref="R26" si="10">SUM(J26:J27)/2</f>
        <v>1.8333333333333335</v>
      </c>
      <c r="S26">
        <f t="shared" ref="S26" si="11">SUM(K26:K27)/2</f>
        <v>1.5</v>
      </c>
      <c r="T26">
        <v>4.8</v>
      </c>
      <c r="U26">
        <v>7</v>
      </c>
      <c r="V26">
        <v>0</v>
      </c>
      <c r="W26">
        <v>1</v>
      </c>
      <c r="X26">
        <v>0</v>
      </c>
      <c r="Y26">
        <v>0</v>
      </c>
      <c r="Z26">
        <v>5</v>
      </c>
      <c r="AA26">
        <f>'Round Data'!E107</f>
        <v>0.79</v>
      </c>
      <c r="AB26">
        <v>0</v>
      </c>
      <c r="AC26">
        <v>0</v>
      </c>
      <c r="AD26">
        <v>1</v>
      </c>
      <c r="AE26">
        <f>'Round Data'!P107</f>
        <v>0.62399999999999878</v>
      </c>
      <c r="AF26">
        <v>4</v>
      </c>
      <c r="AG26">
        <f>'Round Data'!Y107</f>
        <v>0.39900000000000091</v>
      </c>
      <c r="AH26">
        <v>0</v>
      </c>
    </row>
    <row r="27" spans="1:34" x14ac:dyDescent="0.3">
      <c r="A27">
        <v>4</v>
      </c>
      <c r="B27">
        <v>3</v>
      </c>
      <c r="C27">
        <v>6</v>
      </c>
      <c r="D27">
        <v>7</v>
      </c>
      <c r="E27">
        <v>6</v>
      </c>
      <c r="F27">
        <v>3100</v>
      </c>
      <c r="G27">
        <v>12</v>
      </c>
      <c r="H27">
        <v>1</v>
      </c>
      <c r="I27">
        <v>1</v>
      </c>
      <c r="J27">
        <v>1.3333333333333333</v>
      </c>
      <c r="K27">
        <v>1.3333333333333333</v>
      </c>
      <c r="L27">
        <v>1.3333333333333333</v>
      </c>
      <c r="M27">
        <v>1.3333333333333333</v>
      </c>
      <c r="N27">
        <v>68</v>
      </c>
      <c r="O27">
        <v>1</v>
      </c>
      <c r="P27">
        <v>1</v>
      </c>
      <c r="Q27">
        <f>Q26</f>
        <v>123</v>
      </c>
      <c r="R27">
        <f>R26</f>
        <v>1.8333333333333335</v>
      </c>
      <c r="S27">
        <f>S26</f>
        <v>1.5</v>
      </c>
      <c r="T27">
        <v>3.5</v>
      </c>
      <c r="U27">
        <v>1.5</v>
      </c>
      <c r="V27">
        <v>0</v>
      </c>
      <c r="W27">
        <v>0</v>
      </c>
      <c r="X27">
        <v>0</v>
      </c>
      <c r="Y27">
        <v>0</v>
      </c>
      <c r="Z27">
        <f>Z19+0</f>
        <v>5</v>
      </c>
      <c r="AA27">
        <f>'Round Data'!E108</f>
        <v>0.76900000000000002</v>
      </c>
      <c r="AB27">
        <v>0</v>
      </c>
      <c r="AC27">
        <v>0</v>
      </c>
      <c r="AD27">
        <v>1</v>
      </c>
      <c r="AE27">
        <f>'Round Data'!P108</f>
        <v>0.22200000000000131</v>
      </c>
      <c r="AF27">
        <v>6</v>
      </c>
      <c r="AG27">
        <f>'Round Data'!Y108</f>
        <v>0</v>
      </c>
      <c r="AH27">
        <v>1</v>
      </c>
    </row>
    <row r="28" spans="1:34" x14ac:dyDescent="0.3">
      <c r="A28">
        <v>4</v>
      </c>
      <c r="B28">
        <v>3</v>
      </c>
      <c r="C28">
        <v>6</v>
      </c>
      <c r="D28">
        <v>7</v>
      </c>
      <c r="E28">
        <v>6</v>
      </c>
      <c r="F28">
        <v>3100</v>
      </c>
      <c r="G28">
        <v>16</v>
      </c>
      <c r="H28">
        <v>2</v>
      </c>
      <c r="I28">
        <v>2</v>
      </c>
      <c r="J28">
        <v>3.3333333333333335</v>
      </c>
      <c r="K28">
        <v>4</v>
      </c>
      <c r="L28">
        <v>3.3333333333333335</v>
      </c>
      <c r="M28">
        <v>4</v>
      </c>
      <c r="N28">
        <f>N20+15</f>
        <v>49</v>
      </c>
      <c r="O28">
        <v>3</v>
      </c>
      <c r="P28">
        <v>2</v>
      </c>
      <c r="Q28">
        <f t="shared" ref="Q28" si="12">N28+N29</f>
        <v>84</v>
      </c>
      <c r="R28">
        <f>(J28+J29)/2</f>
        <v>3.833333333333333</v>
      </c>
      <c r="S28">
        <f>(K28+K29)/2</f>
        <v>4.6666666666666661</v>
      </c>
      <c r="T28">
        <v>5.4</v>
      </c>
      <c r="U28">
        <v>4.2</v>
      </c>
      <c r="V28">
        <v>0</v>
      </c>
      <c r="W28">
        <v>2</v>
      </c>
      <c r="X28">
        <v>0</v>
      </c>
      <c r="Y28">
        <v>0</v>
      </c>
      <c r="Z28">
        <v>1</v>
      </c>
      <c r="AA28">
        <f>'Round Data'!E109</f>
        <v>0</v>
      </c>
      <c r="AB28">
        <v>0</v>
      </c>
      <c r="AC28">
        <v>0</v>
      </c>
      <c r="AD28">
        <v>1</v>
      </c>
      <c r="AE28">
        <f>'Round Data'!P109</f>
        <v>0.37000000000000099</v>
      </c>
      <c r="AF28">
        <v>3</v>
      </c>
      <c r="AG28">
        <f>'Round Data'!Y109</f>
        <v>0.34500000000000242</v>
      </c>
      <c r="AH28">
        <v>0</v>
      </c>
    </row>
    <row r="29" spans="1:34" x14ac:dyDescent="0.3">
      <c r="A29">
        <v>4</v>
      </c>
      <c r="B29">
        <v>3</v>
      </c>
      <c r="C29">
        <v>6</v>
      </c>
      <c r="D29">
        <v>7</v>
      </c>
      <c r="E29">
        <v>6</v>
      </c>
      <c r="F29">
        <v>3100</v>
      </c>
      <c r="G29">
        <v>44</v>
      </c>
      <c r="H29">
        <v>2</v>
      </c>
      <c r="I29">
        <v>2</v>
      </c>
      <c r="J29">
        <v>4.333333333333333</v>
      </c>
      <c r="K29">
        <v>5.333333333333333</v>
      </c>
      <c r="L29">
        <v>4.333333333333333</v>
      </c>
      <c r="M29">
        <v>5.333333333333333</v>
      </c>
      <c r="N29">
        <v>35</v>
      </c>
      <c r="O29">
        <v>4</v>
      </c>
      <c r="P29">
        <v>2</v>
      </c>
      <c r="Q29">
        <f>Q28</f>
        <v>84</v>
      </c>
      <c r="R29">
        <f>R28</f>
        <v>3.833333333333333</v>
      </c>
      <c r="S29">
        <f>S28</f>
        <v>4.6666666666666661</v>
      </c>
      <c r="T29">
        <v>6.4</v>
      </c>
      <c r="U29">
        <v>9</v>
      </c>
      <c r="V29">
        <v>0</v>
      </c>
      <c r="W29">
        <v>0</v>
      </c>
      <c r="X29">
        <v>0</v>
      </c>
      <c r="Y29">
        <v>0</v>
      </c>
      <c r="Z29">
        <v>1</v>
      </c>
      <c r="AA29">
        <f>'Round Data'!E110</f>
        <v>0.46700000000000003</v>
      </c>
      <c r="AB29">
        <v>0</v>
      </c>
      <c r="AC29">
        <v>0</v>
      </c>
      <c r="AD29">
        <v>1</v>
      </c>
      <c r="AE29">
        <f>'Round Data'!P110</f>
        <v>0.74899999999999878</v>
      </c>
      <c r="AF29">
        <v>7</v>
      </c>
      <c r="AG29">
        <f>'Round Data'!Y110</f>
        <v>0.5210000000000008</v>
      </c>
      <c r="AH29">
        <v>0</v>
      </c>
    </row>
    <row r="30" spans="1:34" x14ac:dyDescent="0.3">
      <c r="A30">
        <v>4</v>
      </c>
      <c r="B30">
        <v>3</v>
      </c>
      <c r="C30">
        <v>6</v>
      </c>
      <c r="D30">
        <v>7</v>
      </c>
      <c r="E30">
        <v>6</v>
      </c>
      <c r="F30">
        <v>3100</v>
      </c>
      <c r="G30">
        <v>1</v>
      </c>
      <c r="H30">
        <v>3</v>
      </c>
      <c r="I30">
        <v>1</v>
      </c>
      <c r="J30">
        <v>10</v>
      </c>
      <c r="K30">
        <v>5.666666666666667</v>
      </c>
      <c r="L30">
        <v>10</v>
      </c>
      <c r="M30">
        <v>5.666666666666667</v>
      </c>
      <c r="N30">
        <v>25</v>
      </c>
      <c r="O30">
        <v>5</v>
      </c>
      <c r="P30">
        <v>3</v>
      </c>
      <c r="Q30">
        <f t="shared" ref="Q30" si="13">N30+N31</f>
        <v>46</v>
      </c>
      <c r="R30">
        <f t="shared" ref="R30" si="14">(J30+J31)/2</f>
        <v>12</v>
      </c>
      <c r="S30">
        <f t="shared" ref="S30" si="15">(K30+K31)/2</f>
        <v>5</v>
      </c>
      <c r="T30">
        <v>5.5</v>
      </c>
      <c r="U30">
        <v>7</v>
      </c>
      <c r="V30">
        <v>1</v>
      </c>
      <c r="W30">
        <v>3</v>
      </c>
      <c r="X30">
        <v>1</v>
      </c>
      <c r="Y30">
        <v>3</v>
      </c>
      <c r="Z30">
        <f t="shared" ref="Z30:Z31" si="16">Z22+0</f>
        <v>5</v>
      </c>
      <c r="AA30">
        <f>'Round Data'!E111</f>
        <v>0.89800000000000002</v>
      </c>
      <c r="AB30">
        <v>0</v>
      </c>
      <c r="AC30">
        <v>0</v>
      </c>
      <c r="AD30">
        <v>1</v>
      </c>
      <c r="AE30">
        <f>'Round Data'!P111</f>
        <v>0</v>
      </c>
      <c r="AF30">
        <v>1</v>
      </c>
      <c r="AG30">
        <f>'Round Data'!Y111</f>
        <v>0.38500000000000156</v>
      </c>
      <c r="AH30">
        <v>0</v>
      </c>
    </row>
    <row r="31" spans="1:34" x14ac:dyDescent="0.3">
      <c r="A31">
        <v>4</v>
      </c>
      <c r="B31">
        <v>3</v>
      </c>
      <c r="C31">
        <v>6</v>
      </c>
      <c r="D31">
        <v>7</v>
      </c>
      <c r="E31">
        <v>6</v>
      </c>
      <c r="F31">
        <v>3100</v>
      </c>
      <c r="G31">
        <v>81</v>
      </c>
      <c r="H31">
        <v>3</v>
      </c>
      <c r="I31">
        <v>1</v>
      </c>
      <c r="J31">
        <v>14</v>
      </c>
      <c r="K31">
        <v>4.333333333333333</v>
      </c>
      <c r="L31">
        <v>14</v>
      </c>
      <c r="M31">
        <v>4.333333333333333</v>
      </c>
      <c r="N31">
        <v>21</v>
      </c>
      <c r="O31">
        <v>20</v>
      </c>
      <c r="P31">
        <v>3</v>
      </c>
      <c r="Q31">
        <f>Q30</f>
        <v>46</v>
      </c>
      <c r="R31">
        <f>R30</f>
        <v>12</v>
      </c>
      <c r="S31">
        <f>S30</f>
        <v>5</v>
      </c>
      <c r="T31">
        <v>9</v>
      </c>
      <c r="U31">
        <v>9</v>
      </c>
      <c r="V31">
        <v>1</v>
      </c>
      <c r="W31">
        <v>2</v>
      </c>
      <c r="X31">
        <v>2</v>
      </c>
      <c r="Y31">
        <v>3</v>
      </c>
      <c r="Z31">
        <f t="shared" si="16"/>
        <v>5</v>
      </c>
      <c r="AA31">
        <f>'Round Data'!E112</f>
        <v>0.44800000000000001</v>
      </c>
      <c r="AB31">
        <v>0</v>
      </c>
      <c r="AC31">
        <v>0</v>
      </c>
      <c r="AD31">
        <v>1</v>
      </c>
      <c r="AE31">
        <f>'Round Data'!P112</f>
        <v>0.23900000000000077</v>
      </c>
      <c r="AF31">
        <v>2</v>
      </c>
      <c r="AG31">
        <f>'Round Data'!Y112</f>
        <v>0.70200000000000173</v>
      </c>
      <c r="AH31">
        <v>0</v>
      </c>
    </row>
    <row r="32" spans="1:34" x14ac:dyDescent="0.3">
      <c r="A32">
        <v>4</v>
      </c>
      <c r="B32">
        <v>3</v>
      </c>
      <c r="C32">
        <v>6</v>
      </c>
      <c r="D32">
        <v>7</v>
      </c>
      <c r="E32">
        <v>6</v>
      </c>
      <c r="F32">
        <v>3100</v>
      </c>
      <c r="G32">
        <v>3</v>
      </c>
      <c r="H32">
        <v>4</v>
      </c>
      <c r="I32">
        <v>3</v>
      </c>
      <c r="J32">
        <v>10</v>
      </c>
      <c r="K32">
        <v>13</v>
      </c>
      <c r="L32">
        <v>10</v>
      </c>
      <c r="M32">
        <v>13</v>
      </c>
      <c r="N32">
        <v>12</v>
      </c>
      <c r="O32">
        <v>9</v>
      </c>
      <c r="P32">
        <v>4</v>
      </c>
      <c r="Q32">
        <f t="shared" ref="Q32" si="17">SUM(N32:N33)</f>
        <v>16</v>
      </c>
      <c r="R32">
        <f t="shared" ref="R32" si="18">SUM(J32:J33)/2</f>
        <v>11.666666666666668</v>
      </c>
      <c r="S32">
        <f t="shared" ref="S32" si="19">SUM(K32:K33)/2</f>
        <v>9.8333333333333339</v>
      </c>
      <c r="T32">
        <v>2.6</v>
      </c>
      <c r="U32">
        <v>3.2</v>
      </c>
      <c r="V32">
        <v>2</v>
      </c>
      <c r="W32">
        <v>3</v>
      </c>
      <c r="X32">
        <v>1</v>
      </c>
      <c r="Y32">
        <v>2</v>
      </c>
      <c r="Z32">
        <v>2</v>
      </c>
      <c r="AA32">
        <f>'Round Data'!E113</f>
        <v>0.29699999999999999</v>
      </c>
      <c r="AB32">
        <v>0</v>
      </c>
      <c r="AC32">
        <v>0</v>
      </c>
      <c r="AD32">
        <v>1</v>
      </c>
      <c r="AE32">
        <f>'Round Data'!P113</f>
        <v>0.59199999999999875</v>
      </c>
      <c r="AF32">
        <v>5</v>
      </c>
      <c r="AG32">
        <f>'Round Data'!Y113</f>
        <v>0.16600000000000037</v>
      </c>
      <c r="AH32">
        <v>0</v>
      </c>
    </row>
    <row r="33" spans="1:34" x14ac:dyDescent="0.3">
      <c r="A33">
        <v>4</v>
      </c>
      <c r="B33">
        <v>3</v>
      </c>
      <c r="C33">
        <v>6</v>
      </c>
      <c r="D33">
        <v>7</v>
      </c>
      <c r="E33">
        <v>6</v>
      </c>
      <c r="F33">
        <v>3100</v>
      </c>
      <c r="G33">
        <v>6</v>
      </c>
      <c r="H33">
        <v>4</v>
      </c>
      <c r="I33">
        <v>3</v>
      </c>
      <c r="J33">
        <v>13.333333333333334</v>
      </c>
      <c r="K33">
        <v>6.666666666666667</v>
      </c>
      <c r="L33">
        <v>13.333333333333334</v>
      </c>
      <c r="M33">
        <v>6.666666666666667</v>
      </c>
      <c r="N33">
        <v>4</v>
      </c>
      <c r="O33">
        <v>14</v>
      </c>
      <c r="P33">
        <v>4</v>
      </c>
      <c r="Q33">
        <f>Q32</f>
        <v>16</v>
      </c>
      <c r="R33">
        <f>R32</f>
        <v>11.666666666666668</v>
      </c>
      <c r="S33">
        <f>S32</f>
        <v>9.8333333333333339</v>
      </c>
      <c r="T33">
        <v>11</v>
      </c>
      <c r="U33">
        <v>16.5</v>
      </c>
      <c r="V33">
        <v>0</v>
      </c>
      <c r="W33">
        <v>0</v>
      </c>
      <c r="X33">
        <v>1</v>
      </c>
      <c r="Y33">
        <v>2</v>
      </c>
      <c r="Z33">
        <v>2</v>
      </c>
      <c r="AA33">
        <f>'Round Data'!E114</f>
        <v>1.5629999999999999</v>
      </c>
      <c r="AB33">
        <v>0</v>
      </c>
      <c r="AC33">
        <v>0</v>
      </c>
      <c r="AD33">
        <v>1</v>
      </c>
      <c r="AE33">
        <f>'Round Data'!P114</f>
        <v>1.5530000000000008</v>
      </c>
      <c r="AF33">
        <v>9</v>
      </c>
      <c r="AG33">
        <f>'Round Data'!Y114</f>
        <v>59.99</v>
      </c>
      <c r="AH33">
        <v>0</v>
      </c>
    </row>
    <row r="34" spans="1:34" x14ac:dyDescent="0.3">
      <c r="A34">
        <v>5</v>
      </c>
      <c r="B34">
        <v>4</v>
      </c>
      <c r="C34">
        <v>3</v>
      </c>
      <c r="D34">
        <v>7</v>
      </c>
      <c r="E34">
        <v>4</v>
      </c>
      <c r="F34">
        <v>1950</v>
      </c>
      <c r="G34">
        <v>63</v>
      </c>
      <c r="H34">
        <v>1</v>
      </c>
      <c r="I34">
        <v>1</v>
      </c>
      <c r="J34">
        <v>2.75</v>
      </c>
      <c r="K34">
        <v>2.5</v>
      </c>
      <c r="L34">
        <v>3.3333333333333335</v>
      </c>
      <c r="M34">
        <v>3</v>
      </c>
      <c r="N34">
        <v>67</v>
      </c>
      <c r="O34">
        <v>2</v>
      </c>
      <c r="P34">
        <v>1</v>
      </c>
      <c r="Q34">
        <f t="shared" ref="Q34" si="20">SUM(N34:N35)</f>
        <v>167</v>
      </c>
      <c r="R34">
        <f t="shared" ref="R34" si="21">SUM(J34:J35)/2</f>
        <v>2</v>
      </c>
      <c r="S34">
        <f t="shared" ref="S34" si="22">SUM(K34:K35)/2</f>
        <v>1.875</v>
      </c>
      <c r="T34">
        <v>6</v>
      </c>
      <c r="U34">
        <v>5.5</v>
      </c>
      <c r="V34">
        <v>1</v>
      </c>
      <c r="W34">
        <v>2</v>
      </c>
      <c r="X34">
        <v>0</v>
      </c>
      <c r="Y34">
        <v>0</v>
      </c>
      <c r="Z34">
        <v>6</v>
      </c>
      <c r="AA34">
        <f>'Round Data'!E133</f>
        <v>0.14199999999999999</v>
      </c>
      <c r="AB34">
        <v>0</v>
      </c>
      <c r="AC34">
        <v>0</v>
      </c>
      <c r="AD34">
        <v>1</v>
      </c>
      <c r="AE34">
        <f>'Round Data'!P133</f>
        <v>0</v>
      </c>
      <c r="AF34">
        <v>1</v>
      </c>
      <c r="AG34">
        <f>'Round Data'!Y133</f>
        <v>0</v>
      </c>
      <c r="AH34">
        <v>0</v>
      </c>
    </row>
    <row r="35" spans="1:34" x14ac:dyDescent="0.3">
      <c r="A35">
        <v>5</v>
      </c>
      <c r="B35">
        <v>4</v>
      </c>
      <c r="C35">
        <v>3</v>
      </c>
      <c r="D35">
        <v>7</v>
      </c>
      <c r="E35">
        <v>4</v>
      </c>
      <c r="F35">
        <v>1950</v>
      </c>
      <c r="G35">
        <v>12</v>
      </c>
      <c r="H35">
        <v>1</v>
      </c>
      <c r="I35">
        <v>1</v>
      </c>
      <c r="J35">
        <v>1.25</v>
      </c>
      <c r="K35">
        <v>1.25</v>
      </c>
      <c r="L35">
        <v>1</v>
      </c>
      <c r="M35">
        <v>1</v>
      </c>
      <c r="N35">
        <v>100</v>
      </c>
      <c r="O35">
        <v>1</v>
      </c>
      <c r="P35">
        <v>1</v>
      </c>
      <c r="Q35">
        <f>Q34</f>
        <v>167</v>
      </c>
      <c r="R35">
        <f>R34</f>
        <v>2</v>
      </c>
      <c r="S35">
        <f>S34</f>
        <v>1.875</v>
      </c>
      <c r="T35">
        <v>2</v>
      </c>
      <c r="U35">
        <v>3</v>
      </c>
      <c r="V35">
        <v>0</v>
      </c>
      <c r="W35">
        <v>1</v>
      </c>
      <c r="X35">
        <v>0</v>
      </c>
      <c r="Y35">
        <v>0</v>
      </c>
      <c r="Z35">
        <f>Z27+1</f>
        <v>6</v>
      </c>
      <c r="AA35">
        <f>'Round Data'!E134</f>
        <v>0</v>
      </c>
      <c r="AB35">
        <v>0</v>
      </c>
      <c r="AC35">
        <v>0</v>
      </c>
      <c r="AD35">
        <v>1</v>
      </c>
      <c r="AE35">
        <f>'Round Data'!P134</f>
        <v>6.7999999999999616E-2</v>
      </c>
      <c r="AF35">
        <v>3</v>
      </c>
      <c r="AG35">
        <f>'Round Data'!Y134</f>
        <v>6.8000000000001393E-2</v>
      </c>
      <c r="AH35">
        <v>1</v>
      </c>
    </row>
    <row r="36" spans="1:34" x14ac:dyDescent="0.3">
      <c r="A36">
        <v>5</v>
      </c>
      <c r="B36">
        <v>4</v>
      </c>
      <c r="C36">
        <v>3</v>
      </c>
      <c r="D36">
        <v>7</v>
      </c>
      <c r="E36">
        <v>4</v>
      </c>
      <c r="F36">
        <v>1950</v>
      </c>
      <c r="G36">
        <v>16</v>
      </c>
      <c r="H36">
        <v>2</v>
      </c>
      <c r="I36">
        <v>2</v>
      </c>
      <c r="J36">
        <v>4.5</v>
      </c>
      <c r="K36">
        <v>3.75</v>
      </c>
      <c r="L36">
        <v>5</v>
      </c>
      <c r="M36">
        <v>3.6666666666666665</v>
      </c>
      <c r="N36">
        <f>N28+4+6</f>
        <v>59</v>
      </c>
      <c r="O36">
        <v>3</v>
      </c>
      <c r="P36">
        <v>2</v>
      </c>
      <c r="Q36">
        <f t="shared" ref="Q36" si="23">N36+N37</f>
        <v>110</v>
      </c>
      <c r="R36">
        <f>(J36+J37)/2</f>
        <v>4.625</v>
      </c>
      <c r="S36">
        <f t="shared" ref="S36" si="24">(K36+K37)/2</f>
        <v>4.625</v>
      </c>
      <c r="T36">
        <v>5.17</v>
      </c>
      <c r="U36">
        <v>10.29</v>
      </c>
      <c r="V36">
        <v>0</v>
      </c>
      <c r="W36">
        <v>1</v>
      </c>
      <c r="X36">
        <v>0</v>
      </c>
      <c r="Y36">
        <v>0</v>
      </c>
      <c r="Z36">
        <v>1</v>
      </c>
      <c r="AA36">
        <f>'Round Data'!E135</f>
        <v>0.95299999999999996</v>
      </c>
      <c r="AB36">
        <v>0</v>
      </c>
      <c r="AC36">
        <v>0</v>
      </c>
      <c r="AD36">
        <v>1</v>
      </c>
      <c r="AE36">
        <f>'Round Data'!P135</f>
        <v>0.44500000000000028</v>
      </c>
      <c r="AF36">
        <v>5</v>
      </c>
      <c r="AG36">
        <f>'Round Data'!Y135</f>
        <v>0.39800000000000146</v>
      </c>
      <c r="AH36">
        <v>0</v>
      </c>
    </row>
    <row r="37" spans="1:34" x14ac:dyDescent="0.3">
      <c r="A37">
        <v>5</v>
      </c>
      <c r="B37">
        <v>4</v>
      </c>
      <c r="C37">
        <v>3</v>
      </c>
      <c r="D37">
        <v>7</v>
      </c>
      <c r="E37">
        <v>4</v>
      </c>
      <c r="F37">
        <v>1950</v>
      </c>
      <c r="G37">
        <v>44</v>
      </c>
      <c r="H37">
        <v>2</v>
      </c>
      <c r="I37">
        <v>2</v>
      </c>
      <c r="J37">
        <v>4.75</v>
      </c>
      <c r="K37">
        <v>5.5</v>
      </c>
      <c r="L37">
        <v>5</v>
      </c>
      <c r="M37">
        <v>5</v>
      </c>
      <c r="N37">
        <v>51</v>
      </c>
      <c r="O37">
        <v>4</v>
      </c>
      <c r="P37">
        <v>2</v>
      </c>
      <c r="Q37">
        <f>Q36</f>
        <v>110</v>
      </c>
      <c r="R37">
        <f>R36</f>
        <v>4.625</v>
      </c>
      <c r="S37">
        <f>S36</f>
        <v>4.625</v>
      </c>
      <c r="T37">
        <v>2.36</v>
      </c>
      <c r="U37">
        <v>2.76</v>
      </c>
      <c r="V37">
        <v>7</v>
      </c>
      <c r="W37">
        <v>9</v>
      </c>
      <c r="X37">
        <v>0</v>
      </c>
      <c r="Y37">
        <v>0</v>
      </c>
      <c r="Z37">
        <v>1</v>
      </c>
      <c r="AA37">
        <f>'Round Data'!E136</f>
        <v>0.77400000000000002</v>
      </c>
      <c r="AB37">
        <v>0</v>
      </c>
      <c r="AC37">
        <v>0</v>
      </c>
      <c r="AD37">
        <v>1</v>
      </c>
      <c r="AE37">
        <f>'Round Data'!P136</f>
        <v>0.36100000000000065</v>
      </c>
      <c r="AF37">
        <v>6</v>
      </c>
      <c r="AG37">
        <f>'Round Data'!Y136</f>
        <v>0.29000000000000092</v>
      </c>
      <c r="AH37">
        <v>0</v>
      </c>
    </row>
    <row r="38" spans="1:34" x14ac:dyDescent="0.3">
      <c r="A38">
        <v>5</v>
      </c>
      <c r="B38">
        <v>4</v>
      </c>
      <c r="C38">
        <v>3</v>
      </c>
      <c r="D38">
        <v>7</v>
      </c>
      <c r="E38">
        <v>4</v>
      </c>
      <c r="F38">
        <v>1950</v>
      </c>
      <c r="G38">
        <v>1</v>
      </c>
      <c r="H38">
        <v>3</v>
      </c>
      <c r="I38">
        <v>1</v>
      </c>
      <c r="J38">
        <v>8</v>
      </c>
      <c r="K38">
        <v>5.25</v>
      </c>
      <c r="L38">
        <v>9</v>
      </c>
      <c r="M38">
        <v>5</v>
      </c>
      <c r="N38">
        <v>51</v>
      </c>
      <c r="O38">
        <v>5</v>
      </c>
      <c r="P38">
        <v>3</v>
      </c>
      <c r="Q38">
        <f t="shared" ref="Q38" si="25">N38+N39</f>
        <v>94</v>
      </c>
      <c r="R38">
        <f t="shared" ref="R38" si="26">(J38+J39)/2</f>
        <v>9.625</v>
      </c>
      <c r="S38">
        <f t="shared" ref="S38" si="27">(K38+K39)/2</f>
        <v>5.125</v>
      </c>
      <c r="T38">
        <v>12</v>
      </c>
      <c r="U38">
        <v>7</v>
      </c>
      <c r="V38">
        <v>0</v>
      </c>
      <c r="W38">
        <v>1</v>
      </c>
      <c r="X38">
        <v>1</v>
      </c>
      <c r="Y38">
        <v>3</v>
      </c>
      <c r="Z38">
        <f t="shared" ref="Z38:Z39" si="28">Z30+1</f>
        <v>6</v>
      </c>
      <c r="AA38">
        <f>'Round Data'!E137</f>
        <v>1.397</v>
      </c>
      <c r="AB38">
        <v>0</v>
      </c>
      <c r="AC38">
        <v>0</v>
      </c>
      <c r="AD38">
        <v>1</v>
      </c>
      <c r="AE38">
        <f>'Round Data'!P137</f>
        <v>0.3149999999999995</v>
      </c>
      <c r="AF38">
        <v>2</v>
      </c>
      <c r="AG38">
        <f>'Round Data'!Y137</f>
        <v>0.1509999999999998</v>
      </c>
      <c r="AH38">
        <v>0</v>
      </c>
    </row>
    <row r="39" spans="1:34" x14ac:dyDescent="0.3">
      <c r="A39">
        <v>5</v>
      </c>
      <c r="B39">
        <v>4</v>
      </c>
      <c r="C39">
        <v>3</v>
      </c>
      <c r="D39">
        <v>7</v>
      </c>
      <c r="E39">
        <v>4</v>
      </c>
      <c r="F39">
        <v>1950</v>
      </c>
      <c r="G39">
        <v>81</v>
      </c>
      <c r="H39">
        <v>3</v>
      </c>
      <c r="I39">
        <v>1</v>
      </c>
      <c r="J39">
        <v>11.25</v>
      </c>
      <c r="K39">
        <v>5</v>
      </c>
      <c r="L39">
        <v>8</v>
      </c>
      <c r="M39">
        <v>5</v>
      </c>
      <c r="N39">
        <v>43</v>
      </c>
      <c r="O39">
        <v>6</v>
      </c>
      <c r="P39">
        <v>3</v>
      </c>
      <c r="Q39">
        <f>Q38</f>
        <v>94</v>
      </c>
      <c r="R39">
        <f>R38</f>
        <v>9.625</v>
      </c>
      <c r="S39">
        <f>S38</f>
        <v>5.125</v>
      </c>
      <c r="T39">
        <v>7.75</v>
      </c>
      <c r="U39">
        <v>4.75</v>
      </c>
      <c r="V39">
        <v>0</v>
      </c>
      <c r="W39">
        <v>0</v>
      </c>
      <c r="X39">
        <v>2</v>
      </c>
      <c r="Y39">
        <v>3</v>
      </c>
      <c r="Z39">
        <f t="shared" si="28"/>
        <v>6</v>
      </c>
      <c r="AA39">
        <f>'Round Data'!E138</f>
        <v>1.5609999999999999</v>
      </c>
      <c r="AB39">
        <v>0</v>
      </c>
      <c r="AC39">
        <v>0</v>
      </c>
      <c r="AD39">
        <v>1</v>
      </c>
      <c r="AE39">
        <f>'Round Data'!P138</f>
        <v>0.33399999999999963</v>
      </c>
      <c r="AF39">
        <v>4</v>
      </c>
      <c r="AG39">
        <f>'Round Data'!Y138</f>
        <v>0.20300000000000118</v>
      </c>
      <c r="AH39">
        <v>0</v>
      </c>
    </row>
    <row r="40" spans="1:34" x14ac:dyDescent="0.3">
      <c r="A40">
        <v>5</v>
      </c>
      <c r="B40">
        <v>4</v>
      </c>
      <c r="C40">
        <v>3</v>
      </c>
      <c r="D40">
        <v>7</v>
      </c>
      <c r="E40">
        <v>4</v>
      </c>
      <c r="F40">
        <v>1950</v>
      </c>
      <c r="G40">
        <v>3</v>
      </c>
      <c r="H40">
        <v>4</v>
      </c>
      <c r="I40">
        <v>3</v>
      </c>
      <c r="J40">
        <v>8.75</v>
      </c>
      <c r="K40">
        <v>10.25</v>
      </c>
      <c r="L40">
        <v>9.6666666666666661</v>
      </c>
      <c r="M40">
        <v>7</v>
      </c>
      <c r="N40">
        <v>22</v>
      </c>
      <c r="O40">
        <v>7</v>
      </c>
      <c r="P40">
        <v>4</v>
      </c>
      <c r="Q40">
        <f t="shared" ref="Q40" si="29">SUM(N40:N41)</f>
        <v>26</v>
      </c>
      <c r="R40">
        <f t="shared" ref="R40" si="30">SUM(J40:J41)/2</f>
        <v>12.125</v>
      </c>
      <c r="S40">
        <f t="shared" ref="S40" si="31">SUM(K40:K41)/2</f>
        <v>10.375</v>
      </c>
      <c r="T40">
        <v>3.89</v>
      </c>
      <c r="U40">
        <v>5.3</v>
      </c>
      <c r="V40">
        <v>3</v>
      </c>
      <c r="W40">
        <v>6</v>
      </c>
      <c r="X40">
        <v>1</v>
      </c>
      <c r="Y40">
        <v>3</v>
      </c>
      <c r="Z40">
        <v>3</v>
      </c>
      <c r="AA40">
        <f>'Round Data'!E139</f>
        <v>0.96399999999999997</v>
      </c>
      <c r="AB40">
        <v>0</v>
      </c>
      <c r="AC40">
        <v>0</v>
      </c>
      <c r="AD40">
        <v>1</v>
      </c>
      <c r="AE40">
        <f>'Round Data'!P139</f>
        <v>0.5389999999999997</v>
      </c>
      <c r="AF40">
        <v>7</v>
      </c>
      <c r="AG40">
        <f>'Round Data'!Y139</f>
        <v>0.32900000000000063</v>
      </c>
      <c r="AH40">
        <v>0</v>
      </c>
    </row>
    <row r="41" spans="1:34" x14ac:dyDescent="0.3">
      <c r="A41">
        <v>5</v>
      </c>
      <c r="B41">
        <v>4</v>
      </c>
      <c r="C41">
        <v>3</v>
      </c>
      <c r="D41">
        <v>7</v>
      </c>
      <c r="E41">
        <v>4</v>
      </c>
      <c r="F41">
        <v>1950</v>
      </c>
      <c r="G41">
        <v>6</v>
      </c>
      <c r="H41">
        <v>4</v>
      </c>
      <c r="I41">
        <v>3</v>
      </c>
      <c r="J41">
        <v>15.5</v>
      </c>
      <c r="K41">
        <v>10.5</v>
      </c>
      <c r="L41">
        <v>14</v>
      </c>
      <c r="M41">
        <v>13</v>
      </c>
      <c r="N41">
        <v>4</v>
      </c>
      <c r="O41">
        <v>14</v>
      </c>
      <c r="P41">
        <v>4</v>
      </c>
      <c r="Q41">
        <f>Q40</f>
        <v>26</v>
      </c>
      <c r="R41">
        <f>R40</f>
        <v>12.125</v>
      </c>
      <c r="S41">
        <f>S40</f>
        <v>10.375</v>
      </c>
      <c r="T41">
        <v>10.5</v>
      </c>
      <c r="U41">
        <v>9.5</v>
      </c>
      <c r="V41">
        <v>0</v>
      </c>
      <c r="W41">
        <v>0</v>
      </c>
      <c r="X41">
        <v>2</v>
      </c>
      <c r="Y41">
        <v>3</v>
      </c>
      <c r="Z41">
        <v>3</v>
      </c>
      <c r="AA41">
        <f>'Round Data'!E140</f>
        <v>2.851</v>
      </c>
      <c r="AB41">
        <v>0</v>
      </c>
      <c r="AC41">
        <v>0</v>
      </c>
      <c r="AE41">
        <f>'Round Data'!P140</f>
        <v>0.64000000000000057</v>
      </c>
      <c r="AF41">
        <v>21</v>
      </c>
      <c r="AG41">
        <f>'Round Data'!Y140</f>
        <v>0.35700000000000109</v>
      </c>
      <c r="AH41">
        <v>0</v>
      </c>
    </row>
    <row r="42" spans="1:34" x14ac:dyDescent="0.3">
      <c r="A42">
        <v>6</v>
      </c>
      <c r="B42">
        <v>1</v>
      </c>
      <c r="C42">
        <v>3</v>
      </c>
      <c r="D42">
        <v>5</v>
      </c>
      <c r="E42">
        <v>11</v>
      </c>
      <c r="F42">
        <v>1160</v>
      </c>
      <c r="G42">
        <v>63</v>
      </c>
      <c r="H42">
        <v>1</v>
      </c>
      <c r="I42">
        <v>1</v>
      </c>
      <c r="J42">
        <v>6</v>
      </c>
      <c r="K42">
        <v>2.2000000000000002</v>
      </c>
      <c r="L42">
        <v>9</v>
      </c>
      <c r="M42">
        <v>2.6666666666666665</v>
      </c>
      <c r="N42">
        <v>88</v>
      </c>
      <c r="O42">
        <v>2</v>
      </c>
      <c r="P42">
        <v>1</v>
      </c>
      <c r="Q42">
        <f t="shared" ref="Q42" si="32">SUM(N42:N43)</f>
        <v>219</v>
      </c>
      <c r="R42">
        <f t="shared" ref="R42" si="33">SUM(J42:J43)/2</f>
        <v>3.6</v>
      </c>
      <c r="S42">
        <f t="shared" ref="S42" si="34">SUM(K42:K43)/2</f>
        <v>1.8</v>
      </c>
      <c r="T42">
        <v>9.57</v>
      </c>
      <c r="U42">
        <v>10.43</v>
      </c>
      <c r="V42">
        <v>0</v>
      </c>
      <c r="W42">
        <v>0</v>
      </c>
      <c r="X42">
        <v>1</v>
      </c>
      <c r="Y42" s="2">
        <v>1</v>
      </c>
      <c r="Z42">
        <v>9</v>
      </c>
      <c r="AA42">
        <f>'Round Data'!E159</f>
        <v>1.0049999999999999</v>
      </c>
      <c r="AB42">
        <f>'Round Data'!M159</f>
        <v>0.379</v>
      </c>
      <c r="AC42">
        <f>'Round Data'!V159</f>
        <v>0.76300000000000001</v>
      </c>
      <c r="AD42">
        <v>0</v>
      </c>
      <c r="AE42">
        <v>0</v>
      </c>
      <c r="AF42">
        <v>0</v>
      </c>
      <c r="AG42">
        <f>'Round Data'!H184</f>
        <v>0.39400000000000013</v>
      </c>
      <c r="AH42">
        <v>0</v>
      </c>
    </row>
    <row r="43" spans="1:34" x14ac:dyDescent="0.3">
      <c r="A43">
        <v>6</v>
      </c>
      <c r="B43">
        <v>1</v>
      </c>
      <c r="C43">
        <v>3</v>
      </c>
      <c r="D43">
        <v>5</v>
      </c>
      <c r="E43">
        <v>11</v>
      </c>
      <c r="F43">
        <v>1160</v>
      </c>
      <c r="G43">
        <v>12</v>
      </c>
      <c r="H43">
        <v>1</v>
      </c>
      <c r="I43">
        <v>1</v>
      </c>
      <c r="J43">
        <v>1.2</v>
      </c>
      <c r="K43">
        <v>1.4</v>
      </c>
      <c r="L43">
        <v>1</v>
      </c>
      <c r="M43">
        <v>1.3333333333333333</v>
      </c>
      <c r="N43">
        <v>131</v>
      </c>
      <c r="O43">
        <v>1</v>
      </c>
      <c r="P43">
        <v>1</v>
      </c>
      <c r="Q43">
        <f>Q42</f>
        <v>219</v>
      </c>
      <c r="R43">
        <f>R42</f>
        <v>3.6</v>
      </c>
      <c r="S43">
        <f>S42</f>
        <v>1.8</v>
      </c>
      <c r="T43">
        <v>9.5</v>
      </c>
      <c r="U43">
        <v>8</v>
      </c>
      <c r="V43">
        <v>0</v>
      </c>
      <c r="W43">
        <v>0</v>
      </c>
      <c r="X43">
        <v>0</v>
      </c>
      <c r="Y43" s="2">
        <v>1</v>
      </c>
      <c r="Z43">
        <f>Z35+3</f>
        <v>9</v>
      </c>
      <c r="AA43">
        <f>'Round Data'!E160</f>
        <v>0.55900000000000005</v>
      </c>
      <c r="AB43">
        <f>'Round Data'!M160</f>
        <v>0.503</v>
      </c>
      <c r="AC43">
        <f>'Round Data'!V160</f>
        <v>0</v>
      </c>
      <c r="AD43">
        <v>0</v>
      </c>
      <c r="AE43">
        <v>0</v>
      </c>
      <c r="AF43">
        <v>0</v>
      </c>
      <c r="AG43">
        <f>'Round Data'!H185</f>
        <v>0</v>
      </c>
      <c r="AH43">
        <v>1</v>
      </c>
    </row>
    <row r="44" spans="1:34" x14ac:dyDescent="0.3">
      <c r="A44">
        <v>6</v>
      </c>
      <c r="B44">
        <v>1</v>
      </c>
      <c r="C44">
        <v>3</v>
      </c>
      <c r="D44">
        <v>5</v>
      </c>
      <c r="E44">
        <v>11</v>
      </c>
      <c r="F44">
        <v>1160</v>
      </c>
      <c r="G44">
        <v>16</v>
      </c>
      <c r="H44">
        <v>2</v>
      </c>
      <c r="I44">
        <v>2</v>
      </c>
      <c r="J44">
        <v>4.4000000000000004</v>
      </c>
      <c r="K44">
        <v>4.5999999999999996</v>
      </c>
      <c r="L44">
        <v>5</v>
      </c>
      <c r="M44">
        <v>5</v>
      </c>
      <c r="N44">
        <f>N36+16</f>
        <v>75</v>
      </c>
      <c r="O44">
        <v>3</v>
      </c>
      <c r="P44">
        <v>2</v>
      </c>
      <c r="Q44">
        <f t="shared" ref="Q44" si="35">N44+N45</f>
        <v>147</v>
      </c>
      <c r="R44">
        <f>(J44+J45)/2</f>
        <v>4.3000000000000007</v>
      </c>
      <c r="S44">
        <f t="shared" ref="S44" si="36">(K44+K45)/2</f>
        <v>5</v>
      </c>
      <c r="T44">
        <v>6.2</v>
      </c>
      <c r="U44">
        <v>5.5</v>
      </c>
      <c r="V44">
        <v>1</v>
      </c>
      <c r="W44">
        <v>2</v>
      </c>
      <c r="X44">
        <v>0</v>
      </c>
      <c r="Y44">
        <v>0</v>
      </c>
      <c r="Z44">
        <v>2</v>
      </c>
      <c r="AA44">
        <f>'Round Data'!E161</f>
        <v>0</v>
      </c>
      <c r="AB44">
        <f>'Round Data'!M161</f>
        <v>0.111</v>
      </c>
      <c r="AC44">
        <f>'Round Data'!V161</f>
        <v>0.32700000000000001</v>
      </c>
      <c r="AD44">
        <v>0</v>
      </c>
      <c r="AE44">
        <v>0</v>
      </c>
      <c r="AF44">
        <v>0</v>
      </c>
      <c r="AG44">
        <f>'Round Data'!H186</f>
        <v>0.30000000000000071</v>
      </c>
      <c r="AH44">
        <v>0</v>
      </c>
    </row>
    <row r="45" spans="1:34" x14ac:dyDescent="0.3">
      <c r="A45">
        <v>6</v>
      </c>
      <c r="B45">
        <v>1</v>
      </c>
      <c r="C45">
        <v>3</v>
      </c>
      <c r="D45">
        <v>5</v>
      </c>
      <c r="E45">
        <v>11</v>
      </c>
      <c r="F45">
        <v>1160</v>
      </c>
      <c r="G45">
        <v>44</v>
      </c>
      <c r="H45">
        <v>2</v>
      </c>
      <c r="I45">
        <v>2</v>
      </c>
      <c r="J45">
        <v>4.2</v>
      </c>
      <c r="K45">
        <v>5.4</v>
      </c>
      <c r="L45">
        <v>4.666666666666667</v>
      </c>
      <c r="M45">
        <v>5.666666666666667</v>
      </c>
      <c r="N45">
        <v>72</v>
      </c>
      <c r="O45">
        <v>4</v>
      </c>
      <c r="P45">
        <v>2</v>
      </c>
      <c r="Q45">
        <f>Q44</f>
        <v>147</v>
      </c>
      <c r="R45">
        <f>R44</f>
        <v>4.3000000000000007</v>
      </c>
      <c r="S45">
        <f>S44</f>
        <v>5</v>
      </c>
      <c r="T45">
        <v>4.47</v>
      </c>
      <c r="U45">
        <v>5.42</v>
      </c>
      <c r="V45">
        <v>3</v>
      </c>
      <c r="W45">
        <v>8</v>
      </c>
      <c r="X45">
        <v>0</v>
      </c>
      <c r="Y45">
        <v>0</v>
      </c>
      <c r="Z45">
        <v>2</v>
      </c>
      <c r="AA45">
        <f>'Round Data'!E162</f>
        <v>0.22600000000000001</v>
      </c>
      <c r="AB45">
        <f>'Round Data'!M162</f>
        <v>0</v>
      </c>
      <c r="AC45">
        <f>'Round Data'!V162</f>
        <v>0.33100000000000002</v>
      </c>
      <c r="AD45">
        <v>0</v>
      </c>
      <c r="AE45">
        <v>0</v>
      </c>
      <c r="AF45">
        <v>0</v>
      </c>
      <c r="AG45">
        <f>'Round Data'!H187</f>
        <v>0.22799999999999976</v>
      </c>
      <c r="AH45">
        <v>0</v>
      </c>
    </row>
    <row r="46" spans="1:34" x14ac:dyDescent="0.3">
      <c r="A46">
        <v>6</v>
      </c>
      <c r="B46">
        <v>1</v>
      </c>
      <c r="C46">
        <v>3</v>
      </c>
      <c r="D46">
        <v>5</v>
      </c>
      <c r="E46">
        <v>11</v>
      </c>
      <c r="F46">
        <v>1160</v>
      </c>
      <c r="G46">
        <v>1</v>
      </c>
      <c r="H46">
        <v>3</v>
      </c>
      <c r="I46">
        <v>1</v>
      </c>
      <c r="J46">
        <v>10</v>
      </c>
      <c r="K46">
        <v>4.8</v>
      </c>
      <c r="L46">
        <v>8.3333333333333339</v>
      </c>
      <c r="M46">
        <v>4</v>
      </c>
      <c r="N46">
        <v>58</v>
      </c>
      <c r="O46">
        <v>5</v>
      </c>
      <c r="P46">
        <v>3</v>
      </c>
      <c r="Q46">
        <f t="shared" ref="Q46" si="37">N46+N47</f>
        <v>106</v>
      </c>
      <c r="R46">
        <f t="shared" ref="R46" si="38">(J46+J47)/2</f>
        <v>10.6</v>
      </c>
      <c r="S46">
        <f t="shared" ref="S46" si="39">(K46+K47)/2</f>
        <v>4.8</v>
      </c>
      <c r="T46">
        <v>5.67</v>
      </c>
      <c r="U46">
        <v>6.43</v>
      </c>
      <c r="V46">
        <v>1</v>
      </c>
      <c r="W46">
        <v>2</v>
      </c>
      <c r="X46">
        <v>2</v>
      </c>
      <c r="Y46">
        <v>4</v>
      </c>
      <c r="Z46">
        <f t="shared" ref="Z46:Z47" si="40">Z38+3</f>
        <v>9</v>
      </c>
      <c r="AA46">
        <f>'Round Data'!E163</f>
        <v>1.3129999999999999</v>
      </c>
      <c r="AB46">
        <f>'Round Data'!M163</f>
        <v>2.2480000000000002</v>
      </c>
      <c r="AC46">
        <f>'Round Data'!V163</f>
        <v>1.286</v>
      </c>
      <c r="AD46">
        <v>0</v>
      </c>
      <c r="AE46">
        <v>0</v>
      </c>
      <c r="AF46">
        <v>0</v>
      </c>
      <c r="AG46">
        <f>'Round Data'!H188</f>
        <v>0.71400000000000041</v>
      </c>
      <c r="AH46">
        <v>0</v>
      </c>
    </row>
    <row r="47" spans="1:34" x14ac:dyDescent="0.3">
      <c r="A47">
        <v>6</v>
      </c>
      <c r="B47">
        <v>1</v>
      </c>
      <c r="C47">
        <v>3</v>
      </c>
      <c r="D47">
        <v>5</v>
      </c>
      <c r="E47">
        <v>11</v>
      </c>
      <c r="F47">
        <v>1160</v>
      </c>
      <c r="G47">
        <v>81</v>
      </c>
      <c r="H47">
        <v>3</v>
      </c>
      <c r="I47">
        <v>1</v>
      </c>
      <c r="J47">
        <v>11.2</v>
      </c>
      <c r="K47">
        <v>4.8</v>
      </c>
      <c r="L47">
        <v>5.333333333333333</v>
      </c>
      <c r="M47">
        <v>4.666666666666667</v>
      </c>
      <c r="N47">
        <v>48</v>
      </c>
      <c r="O47">
        <v>6</v>
      </c>
      <c r="P47">
        <v>3</v>
      </c>
      <c r="Q47">
        <f>Q46</f>
        <v>106</v>
      </c>
      <c r="R47">
        <f>R46</f>
        <v>10.6</v>
      </c>
      <c r="S47">
        <f>S46</f>
        <v>4.8</v>
      </c>
      <c r="T47">
        <v>5</v>
      </c>
      <c r="U47">
        <v>5.75</v>
      </c>
      <c r="V47">
        <v>0</v>
      </c>
      <c r="W47">
        <v>2</v>
      </c>
      <c r="X47">
        <v>2</v>
      </c>
      <c r="Y47">
        <v>4</v>
      </c>
      <c r="Z47">
        <f t="shared" si="40"/>
        <v>9</v>
      </c>
      <c r="AA47">
        <f>'Round Data'!E164</f>
        <v>1.587</v>
      </c>
      <c r="AB47">
        <f>'Round Data'!M164</f>
        <v>1.0620000000000001</v>
      </c>
      <c r="AC47">
        <f>'Round Data'!V164</f>
        <v>0.97799999999999998</v>
      </c>
      <c r="AD47">
        <v>0</v>
      </c>
      <c r="AE47">
        <v>0</v>
      </c>
      <c r="AF47">
        <v>0</v>
      </c>
      <c r="AG47">
        <f>'Round Data'!H189</f>
        <v>0.5730000000000004</v>
      </c>
      <c r="AH47">
        <v>0</v>
      </c>
    </row>
    <row r="48" spans="1:34" x14ac:dyDescent="0.3">
      <c r="A48">
        <v>6</v>
      </c>
      <c r="B48">
        <v>1</v>
      </c>
      <c r="C48">
        <v>3</v>
      </c>
      <c r="D48">
        <v>5</v>
      </c>
      <c r="E48">
        <v>11</v>
      </c>
      <c r="F48">
        <v>1160</v>
      </c>
      <c r="G48">
        <v>3</v>
      </c>
      <c r="H48">
        <v>4</v>
      </c>
      <c r="I48">
        <v>3</v>
      </c>
      <c r="J48">
        <v>7.6</v>
      </c>
      <c r="K48">
        <v>9.4</v>
      </c>
      <c r="L48">
        <v>5.333333333333333</v>
      </c>
      <c r="M48">
        <v>6.333333333333333</v>
      </c>
      <c r="N48">
        <v>37</v>
      </c>
      <c r="O48">
        <v>7</v>
      </c>
      <c r="P48">
        <v>4</v>
      </c>
      <c r="Q48">
        <f t="shared" ref="Q48" si="41">SUM(N48:N49)</f>
        <v>51</v>
      </c>
      <c r="R48">
        <f t="shared" ref="R48" si="42">SUM(J48:J49)/2</f>
        <v>10.5</v>
      </c>
      <c r="S48">
        <f t="shared" ref="S48" si="43">SUM(K48:K49)/2</f>
        <v>9.6000000000000014</v>
      </c>
      <c r="T48">
        <v>4.13</v>
      </c>
      <c r="U48">
        <v>6.91</v>
      </c>
      <c r="V48">
        <v>2</v>
      </c>
      <c r="W48">
        <v>3</v>
      </c>
      <c r="X48">
        <v>1</v>
      </c>
      <c r="Y48">
        <v>4</v>
      </c>
      <c r="Z48">
        <v>5</v>
      </c>
      <c r="AA48">
        <f>'Round Data'!E165</f>
        <v>0.51300000000000001</v>
      </c>
      <c r="AB48">
        <f>'Round Data'!M165</f>
        <v>0.16800000000000001</v>
      </c>
      <c r="AC48">
        <f>'Round Data'!V165</f>
        <v>0.94199999999999995</v>
      </c>
      <c r="AD48">
        <v>0</v>
      </c>
      <c r="AE48">
        <v>0</v>
      </c>
      <c r="AF48">
        <v>0</v>
      </c>
      <c r="AG48">
        <f>'Round Data'!H190</f>
        <v>4.2999999999999261E-2</v>
      </c>
      <c r="AH48">
        <v>0</v>
      </c>
    </row>
    <row r="49" spans="1:34" x14ac:dyDescent="0.3">
      <c r="A49">
        <v>6</v>
      </c>
      <c r="B49">
        <v>1</v>
      </c>
      <c r="C49">
        <v>3</v>
      </c>
      <c r="D49">
        <v>5</v>
      </c>
      <c r="E49">
        <v>11</v>
      </c>
      <c r="F49">
        <v>1160</v>
      </c>
      <c r="G49">
        <v>6</v>
      </c>
      <c r="H49">
        <v>4</v>
      </c>
      <c r="I49">
        <v>3</v>
      </c>
      <c r="J49">
        <v>13.4</v>
      </c>
      <c r="K49">
        <v>9.8000000000000007</v>
      </c>
      <c r="L49">
        <v>13</v>
      </c>
      <c r="M49">
        <v>12.333333333333334</v>
      </c>
      <c r="N49">
        <v>14</v>
      </c>
      <c r="O49">
        <v>11</v>
      </c>
      <c r="P49">
        <v>4</v>
      </c>
      <c r="Q49">
        <f>Q48</f>
        <v>51</v>
      </c>
      <c r="R49">
        <f>R48</f>
        <v>10.5</v>
      </c>
      <c r="S49">
        <f>S48</f>
        <v>9.6000000000000014</v>
      </c>
      <c r="T49">
        <v>5</v>
      </c>
      <c r="U49">
        <v>5</v>
      </c>
      <c r="V49">
        <v>0</v>
      </c>
      <c r="W49">
        <v>0</v>
      </c>
      <c r="X49">
        <v>2</v>
      </c>
      <c r="Y49">
        <v>4</v>
      </c>
      <c r="Z49">
        <v>5</v>
      </c>
      <c r="AA49">
        <f>'Round Data'!E166</f>
        <v>2.17</v>
      </c>
      <c r="AB49">
        <f>'Round Data'!M166</f>
        <v>1.0609999999999999</v>
      </c>
      <c r="AC49">
        <f>'Round Data'!V166</f>
        <v>1.157</v>
      </c>
      <c r="AD49">
        <v>0</v>
      </c>
      <c r="AE49">
        <v>0</v>
      </c>
      <c r="AF49">
        <v>0</v>
      </c>
      <c r="AG49">
        <f>'Round Data'!H191</f>
        <v>0.38299999999999912</v>
      </c>
      <c r="AH49">
        <v>0</v>
      </c>
    </row>
    <row r="50" spans="1:34" x14ac:dyDescent="0.3">
      <c r="A50">
        <v>7</v>
      </c>
      <c r="B50">
        <v>4</v>
      </c>
      <c r="C50">
        <v>4</v>
      </c>
      <c r="D50">
        <v>7</v>
      </c>
      <c r="E50">
        <v>3</v>
      </c>
      <c r="F50">
        <v>1540</v>
      </c>
      <c r="G50">
        <v>63</v>
      </c>
      <c r="H50">
        <v>1</v>
      </c>
      <c r="I50">
        <v>1</v>
      </c>
      <c r="J50">
        <v>7</v>
      </c>
      <c r="K50">
        <v>2.8333333333333335</v>
      </c>
      <c r="L50">
        <v>11.666666666666666</v>
      </c>
      <c r="M50">
        <v>4</v>
      </c>
      <c r="N50">
        <v>88</v>
      </c>
      <c r="O50">
        <v>3</v>
      </c>
      <c r="P50">
        <v>1</v>
      </c>
      <c r="Q50">
        <f t="shared" ref="Q50" si="44">SUM(N50:N51)</f>
        <v>244</v>
      </c>
      <c r="R50">
        <f t="shared" ref="R50" si="45">SUM(J50:J51)/2</f>
        <v>4.083333333333333</v>
      </c>
      <c r="S50">
        <f t="shared" ref="S50" si="46">SUM(K50:K51)/2</f>
        <v>2.0833333333333335</v>
      </c>
      <c r="T50">
        <v>8</v>
      </c>
      <c r="U50">
        <v>9.6300000000000008</v>
      </c>
      <c r="V50">
        <v>0</v>
      </c>
      <c r="W50">
        <v>1</v>
      </c>
      <c r="X50">
        <v>1</v>
      </c>
      <c r="Y50" s="2">
        <v>1</v>
      </c>
      <c r="Z50">
        <v>10</v>
      </c>
      <c r="AA50">
        <v>0</v>
      </c>
      <c r="AB50">
        <f>'Round Data'!M211</f>
        <v>8.9999999999999993E-3</v>
      </c>
      <c r="AC50">
        <f>'Round Data'!V211</f>
        <v>0</v>
      </c>
      <c r="AD50">
        <v>0</v>
      </c>
      <c r="AE50">
        <v>0</v>
      </c>
      <c r="AF50">
        <v>0</v>
      </c>
      <c r="AG50">
        <f>'Round Data'!H238</f>
        <v>0</v>
      </c>
      <c r="AH50">
        <v>0</v>
      </c>
    </row>
    <row r="51" spans="1:34" x14ac:dyDescent="0.3">
      <c r="A51">
        <v>7</v>
      </c>
      <c r="B51">
        <v>4</v>
      </c>
      <c r="C51">
        <v>4</v>
      </c>
      <c r="D51">
        <v>7</v>
      </c>
      <c r="E51">
        <v>3</v>
      </c>
      <c r="F51">
        <v>1540</v>
      </c>
      <c r="G51">
        <v>12</v>
      </c>
      <c r="H51">
        <v>1</v>
      </c>
      <c r="I51">
        <v>1</v>
      </c>
      <c r="J51">
        <v>1.1666666666666667</v>
      </c>
      <c r="K51">
        <v>1.3333333333333333</v>
      </c>
      <c r="L51">
        <v>1</v>
      </c>
      <c r="M51">
        <v>1.3333333333333333</v>
      </c>
      <c r="N51">
        <v>156</v>
      </c>
      <c r="O51">
        <v>1</v>
      </c>
      <c r="P51">
        <v>1</v>
      </c>
      <c r="Q51">
        <f>Q50</f>
        <v>244</v>
      </c>
      <c r="R51">
        <f>R50</f>
        <v>4.083333333333333</v>
      </c>
      <c r="S51">
        <f>S50</f>
        <v>2.0833333333333335</v>
      </c>
      <c r="T51">
        <v>17</v>
      </c>
      <c r="U51">
        <v>4.5</v>
      </c>
      <c r="V51">
        <v>0</v>
      </c>
      <c r="W51">
        <v>0</v>
      </c>
      <c r="X51">
        <v>0</v>
      </c>
      <c r="Y51" s="2">
        <v>1</v>
      </c>
      <c r="Z51">
        <f>Z43+1</f>
        <v>10</v>
      </c>
      <c r="AA51">
        <v>0.05</v>
      </c>
      <c r="AB51">
        <f>'Round Data'!M212</f>
        <v>0.58899999999999997</v>
      </c>
      <c r="AC51">
        <f>'Round Data'!V212</f>
        <v>0.82099999999999995</v>
      </c>
      <c r="AD51">
        <v>0</v>
      </c>
      <c r="AE51">
        <v>0</v>
      </c>
      <c r="AF51">
        <v>0</v>
      </c>
      <c r="AG51">
        <f>'Round Data'!H239</f>
        <v>0.31899999999999906</v>
      </c>
      <c r="AH51">
        <v>0</v>
      </c>
    </row>
    <row r="52" spans="1:34" x14ac:dyDescent="0.3">
      <c r="A52">
        <v>7</v>
      </c>
      <c r="B52">
        <v>4</v>
      </c>
      <c r="C52">
        <v>4</v>
      </c>
      <c r="D52">
        <v>7</v>
      </c>
      <c r="E52">
        <v>3</v>
      </c>
      <c r="F52">
        <v>1540</v>
      </c>
      <c r="G52">
        <v>16</v>
      </c>
      <c r="H52">
        <v>2</v>
      </c>
      <c r="I52">
        <v>2</v>
      </c>
      <c r="J52">
        <v>6.5</v>
      </c>
      <c r="K52">
        <v>4.5</v>
      </c>
      <c r="L52">
        <v>9.6666666666666661</v>
      </c>
      <c r="M52">
        <v>5</v>
      </c>
      <c r="N52">
        <v>75</v>
      </c>
      <c r="O52">
        <v>4</v>
      </c>
      <c r="P52">
        <v>2</v>
      </c>
      <c r="Q52">
        <f t="shared" ref="Q52" si="47">N52+N53</f>
        <v>165</v>
      </c>
      <c r="R52">
        <f>(J52+J53)/2</f>
        <v>5.166666666666667</v>
      </c>
      <c r="S52">
        <f t="shared" ref="S52" si="48">(K52+K53)/2</f>
        <v>4.75</v>
      </c>
      <c r="T52">
        <v>7.57</v>
      </c>
      <c r="U52">
        <v>8.2200000000000006</v>
      </c>
      <c r="V52">
        <v>0</v>
      </c>
      <c r="W52">
        <v>1</v>
      </c>
      <c r="X52">
        <v>1</v>
      </c>
      <c r="Y52">
        <v>1</v>
      </c>
      <c r="Z52">
        <v>3</v>
      </c>
      <c r="AA52">
        <v>0.52</v>
      </c>
      <c r="AB52">
        <f>'Round Data'!M213</f>
        <v>0.373</v>
      </c>
      <c r="AC52">
        <f>'Round Data'!V213</f>
        <v>0.24299999999999999</v>
      </c>
      <c r="AD52">
        <v>0</v>
      </c>
      <c r="AE52">
        <v>0</v>
      </c>
      <c r="AF52">
        <v>0</v>
      </c>
      <c r="AG52">
        <f>'Round Data'!H240</f>
        <v>26.32</v>
      </c>
      <c r="AH52">
        <v>0</v>
      </c>
    </row>
    <row r="53" spans="1:34" x14ac:dyDescent="0.3">
      <c r="A53">
        <v>7</v>
      </c>
      <c r="B53">
        <v>4</v>
      </c>
      <c r="C53">
        <v>4</v>
      </c>
      <c r="D53">
        <v>7</v>
      </c>
      <c r="E53">
        <v>3</v>
      </c>
      <c r="F53">
        <v>1540</v>
      </c>
      <c r="G53">
        <v>44</v>
      </c>
      <c r="H53">
        <v>2</v>
      </c>
      <c r="I53">
        <v>2</v>
      </c>
      <c r="J53">
        <v>3.8333333333333335</v>
      </c>
      <c r="K53">
        <v>5</v>
      </c>
      <c r="L53">
        <v>3.3333333333333335</v>
      </c>
      <c r="M53">
        <v>4.666666666666667</v>
      </c>
      <c r="N53">
        <v>90</v>
      </c>
      <c r="O53">
        <v>2</v>
      </c>
      <c r="P53">
        <v>2</v>
      </c>
      <c r="Q53">
        <f>Q52</f>
        <v>165</v>
      </c>
      <c r="R53">
        <f>R52</f>
        <v>5.166666666666667</v>
      </c>
      <c r="S53">
        <f>S52</f>
        <v>4.75</v>
      </c>
      <c r="T53">
        <v>3.95</v>
      </c>
      <c r="U53">
        <v>4.25</v>
      </c>
      <c r="V53">
        <v>7</v>
      </c>
      <c r="W53">
        <v>12</v>
      </c>
      <c r="X53">
        <v>0</v>
      </c>
      <c r="Y53">
        <v>1</v>
      </c>
      <c r="Z53">
        <v>3</v>
      </c>
      <c r="AA53">
        <v>0.52</v>
      </c>
      <c r="AB53">
        <f>'Round Data'!M214</f>
        <v>1.2050000000000001</v>
      </c>
      <c r="AC53">
        <f>'Round Data'!V214</f>
        <v>0.70199999999999996</v>
      </c>
      <c r="AD53">
        <v>0</v>
      </c>
      <c r="AE53">
        <v>0</v>
      </c>
      <c r="AF53">
        <v>0</v>
      </c>
      <c r="AG53">
        <f>'Round Data'!H241</f>
        <v>6.4000000000000057E-2</v>
      </c>
      <c r="AH53">
        <v>1</v>
      </c>
    </row>
    <row r="54" spans="1:34" x14ac:dyDescent="0.3">
      <c r="A54">
        <v>7</v>
      </c>
      <c r="B54">
        <v>4</v>
      </c>
      <c r="C54">
        <v>4</v>
      </c>
      <c r="D54">
        <v>7</v>
      </c>
      <c r="E54">
        <v>3</v>
      </c>
      <c r="F54">
        <v>1540</v>
      </c>
      <c r="G54">
        <v>1</v>
      </c>
      <c r="H54">
        <v>3</v>
      </c>
      <c r="I54">
        <v>1</v>
      </c>
      <c r="J54">
        <v>11.5</v>
      </c>
      <c r="K54">
        <v>5.333333333333333</v>
      </c>
      <c r="L54">
        <v>13</v>
      </c>
      <c r="M54">
        <v>5</v>
      </c>
      <c r="N54">
        <v>58</v>
      </c>
      <c r="O54">
        <v>5</v>
      </c>
      <c r="P54">
        <v>3</v>
      </c>
      <c r="Q54">
        <f t="shared" ref="Q54" si="49">N54+N55</f>
        <v>111</v>
      </c>
      <c r="R54">
        <f t="shared" ref="R54" si="50">(J54+J55)/2</f>
        <v>10.833333333333332</v>
      </c>
      <c r="S54">
        <f t="shared" ref="S54" si="51">(K54+K55)/2</f>
        <v>5.25</v>
      </c>
      <c r="T54">
        <v>7.14</v>
      </c>
      <c r="U54">
        <v>6</v>
      </c>
      <c r="V54">
        <v>0</v>
      </c>
      <c r="W54">
        <v>3</v>
      </c>
      <c r="X54">
        <v>3</v>
      </c>
      <c r="Y54">
        <v>5</v>
      </c>
      <c r="Z54">
        <f t="shared" ref="Z54:Z55" si="52">Z46+1</f>
        <v>10</v>
      </c>
      <c r="AA54">
        <v>0.183</v>
      </c>
      <c r="AB54">
        <f>'Round Data'!M215</f>
        <v>0</v>
      </c>
      <c r="AC54">
        <f>'Round Data'!V215</f>
        <v>0.246</v>
      </c>
      <c r="AD54">
        <v>0</v>
      </c>
      <c r="AE54">
        <v>0</v>
      </c>
      <c r="AF54">
        <v>0</v>
      </c>
      <c r="AG54">
        <f>'Round Data'!H242</f>
        <v>0.32199999999999918</v>
      </c>
      <c r="AH54">
        <v>0</v>
      </c>
    </row>
    <row r="55" spans="1:34" x14ac:dyDescent="0.3">
      <c r="A55">
        <v>7</v>
      </c>
      <c r="B55">
        <v>4</v>
      </c>
      <c r="C55">
        <v>4</v>
      </c>
      <c r="D55">
        <v>7</v>
      </c>
      <c r="E55">
        <v>3</v>
      </c>
      <c r="F55">
        <v>1540</v>
      </c>
      <c r="G55">
        <v>81</v>
      </c>
      <c r="H55">
        <v>3</v>
      </c>
      <c r="I55">
        <v>1</v>
      </c>
      <c r="J55">
        <v>10.166666666666666</v>
      </c>
      <c r="K55">
        <v>5.166666666666667</v>
      </c>
      <c r="L55">
        <v>6.333333333333333</v>
      </c>
      <c r="M55">
        <v>6</v>
      </c>
      <c r="N55">
        <v>53</v>
      </c>
      <c r="O55">
        <v>6</v>
      </c>
      <c r="P55">
        <v>3</v>
      </c>
      <c r="Q55">
        <f>Q54</f>
        <v>111</v>
      </c>
      <c r="R55">
        <f>R54</f>
        <v>10.833333333333332</v>
      </c>
      <c r="S55">
        <f>S54</f>
        <v>5.25</v>
      </c>
      <c r="T55">
        <v>6.5</v>
      </c>
      <c r="U55">
        <v>6.5</v>
      </c>
      <c r="V55">
        <v>1</v>
      </c>
      <c r="W55">
        <v>1</v>
      </c>
      <c r="X55">
        <v>2</v>
      </c>
      <c r="Y55">
        <v>5</v>
      </c>
      <c r="Z55">
        <f t="shared" si="52"/>
        <v>10</v>
      </c>
      <c r="AA55">
        <v>0.20300000000000001</v>
      </c>
      <c r="AB55">
        <f>'Round Data'!M216</f>
        <v>5.7000000000000002E-2</v>
      </c>
      <c r="AC55">
        <f>'Round Data'!V216</f>
        <v>0.214</v>
      </c>
      <c r="AD55">
        <v>0</v>
      </c>
      <c r="AE55">
        <v>0</v>
      </c>
      <c r="AF55">
        <v>0</v>
      </c>
      <c r="AG55">
        <f>'Round Data'!H243</f>
        <v>0.41099999999999959</v>
      </c>
      <c r="AH55">
        <v>0</v>
      </c>
    </row>
    <row r="56" spans="1:34" x14ac:dyDescent="0.3">
      <c r="A56">
        <v>7</v>
      </c>
      <c r="B56">
        <v>4</v>
      </c>
      <c r="C56">
        <v>4</v>
      </c>
      <c r="D56">
        <v>7</v>
      </c>
      <c r="E56">
        <v>3</v>
      </c>
      <c r="F56">
        <v>1540</v>
      </c>
      <c r="G56">
        <v>3</v>
      </c>
      <c r="H56">
        <v>4</v>
      </c>
      <c r="I56">
        <v>3</v>
      </c>
      <c r="J56">
        <v>10</v>
      </c>
      <c r="K56">
        <v>8.1666666666666661</v>
      </c>
      <c r="L56">
        <v>10</v>
      </c>
      <c r="M56">
        <v>3.3333333333333335</v>
      </c>
      <c r="N56">
        <v>37</v>
      </c>
      <c r="O56">
        <v>7</v>
      </c>
      <c r="P56">
        <v>4</v>
      </c>
      <c r="Q56">
        <f t="shared" ref="Q56" si="53">SUM(N56:N57)</f>
        <v>63</v>
      </c>
      <c r="R56">
        <f t="shared" ref="R56" si="54">SUM(J56:J57)/2</f>
        <v>10.916666666666668</v>
      </c>
      <c r="S56">
        <f t="shared" ref="S56" si="55">SUM(K56:K57)/2</f>
        <v>8.5833333333333321</v>
      </c>
      <c r="T56">
        <v>3.55</v>
      </c>
      <c r="U56">
        <v>3.5</v>
      </c>
      <c r="V56">
        <v>4</v>
      </c>
      <c r="W56">
        <v>8</v>
      </c>
      <c r="X56">
        <v>2</v>
      </c>
      <c r="Y56">
        <v>4</v>
      </c>
      <c r="Z56">
        <v>6</v>
      </c>
      <c r="AA56">
        <v>0.68400000000000005</v>
      </c>
      <c r="AB56">
        <f>'Round Data'!M217</f>
        <v>0.89500000000000002</v>
      </c>
      <c r="AC56">
        <f>'Round Data'!V217</f>
        <v>0.755</v>
      </c>
      <c r="AD56">
        <v>0</v>
      </c>
      <c r="AE56">
        <v>0</v>
      </c>
      <c r="AF56">
        <v>0</v>
      </c>
      <c r="AG56">
        <f>'Round Data'!H244</f>
        <v>0.34200000000000053</v>
      </c>
      <c r="AH56">
        <v>0</v>
      </c>
    </row>
    <row r="57" spans="1:34" x14ac:dyDescent="0.3">
      <c r="A57">
        <v>7</v>
      </c>
      <c r="B57">
        <v>4</v>
      </c>
      <c r="C57">
        <v>4</v>
      </c>
      <c r="D57">
        <v>7</v>
      </c>
      <c r="E57">
        <v>3</v>
      </c>
      <c r="F57">
        <v>1540</v>
      </c>
      <c r="G57">
        <v>6</v>
      </c>
      <c r="H57">
        <v>4</v>
      </c>
      <c r="I57">
        <v>3</v>
      </c>
      <c r="J57">
        <v>11.833333333333334</v>
      </c>
      <c r="K57">
        <v>9</v>
      </c>
      <c r="L57">
        <v>10.333333333333334</v>
      </c>
      <c r="M57">
        <v>11.333333333333334</v>
      </c>
      <c r="N57">
        <v>26</v>
      </c>
      <c r="O57">
        <v>10</v>
      </c>
      <c r="P57">
        <v>4</v>
      </c>
      <c r="Q57">
        <f>Q56</f>
        <v>63</v>
      </c>
      <c r="R57">
        <f>R56</f>
        <v>10.916666666666668</v>
      </c>
      <c r="S57">
        <f>S56</f>
        <v>8.5833333333333321</v>
      </c>
      <c r="T57">
        <f>(6+7)/2</f>
        <v>6.5</v>
      </c>
      <c r="U57">
        <f>(6+9)/2</f>
        <v>7.5</v>
      </c>
      <c r="V57">
        <v>0</v>
      </c>
      <c r="W57">
        <v>0</v>
      </c>
      <c r="X57">
        <v>2</v>
      </c>
      <c r="Y57">
        <v>4</v>
      </c>
      <c r="Z57">
        <v>6</v>
      </c>
      <c r="AA57">
        <v>0.78400000000000003</v>
      </c>
      <c r="AB57">
        <f>'Round Data'!M218</f>
        <v>1.248</v>
      </c>
      <c r="AC57">
        <f>'Round Data'!V218</f>
        <v>1.0049999999999999</v>
      </c>
      <c r="AD57">
        <v>0</v>
      </c>
      <c r="AE57">
        <v>0</v>
      </c>
      <c r="AF57">
        <v>0</v>
      </c>
      <c r="AG57">
        <f>'Round Data'!H245</f>
        <v>0.39799999999999969</v>
      </c>
      <c r="AH57">
        <v>0</v>
      </c>
    </row>
    <row r="58" spans="1:34" s="3" customFormat="1" x14ac:dyDescent="0.3">
      <c r="A58" s="3">
        <v>8</v>
      </c>
      <c r="B58">
        <v>3</v>
      </c>
      <c r="C58">
        <v>4</v>
      </c>
      <c r="D58">
        <v>4</v>
      </c>
      <c r="E58">
        <v>2</v>
      </c>
      <c r="F58">
        <v>2350</v>
      </c>
      <c r="G58" s="3">
        <v>63</v>
      </c>
      <c r="H58" s="3">
        <v>1</v>
      </c>
      <c r="I58" s="3">
        <v>1</v>
      </c>
      <c r="J58" s="3">
        <v>6.2857142857142856</v>
      </c>
      <c r="K58" s="3">
        <v>2.5714285714285716</v>
      </c>
      <c r="L58" s="3">
        <v>11</v>
      </c>
      <c r="M58" s="3">
        <v>2.6666666666666665</v>
      </c>
      <c r="N58" s="3">
        <v>106</v>
      </c>
      <c r="O58" s="3">
        <v>3</v>
      </c>
      <c r="P58" s="3">
        <v>1</v>
      </c>
      <c r="Q58" s="3">
        <f t="shared" ref="Q58" si="56">SUM(N58:N59)</f>
        <v>262</v>
      </c>
      <c r="R58" s="3">
        <f>SUM(J58:J59)/2</f>
        <v>4.7857142857142856</v>
      </c>
      <c r="S58" s="3">
        <f t="shared" ref="S58" si="57">SUM(K58:K59)/2</f>
        <v>2.0714285714285716</v>
      </c>
      <c r="T58" s="3">
        <v>7.67</v>
      </c>
      <c r="U58" s="3">
        <v>9.7100000000000009</v>
      </c>
      <c r="V58" s="3">
        <v>1</v>
      </c>
      <c r="W58" s="3">
        <v>1</v>
      </c>
      <c r="X58" s="3">
        <v>1</v>
      </c>
      <c r="Y58" s="4">
        <v>2</v>
      </c>
      <c r="Z58" s="3">
        <v>12</v>
      </c>
      <c r="AA58" s="3">
        <v>0.04</v>
      </c>
      <c r="AB58" s="3">
        <v>0.623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</v>
      </c>
    </row>
    <row r="59" spans="1:34" s="3" customFormat="1" x14ac:dyDescent="0.3">
      <c r="A59" s="3">
        <v>8</v>
      </c>
      <c r="B59">
        <v>3</v>
      </c>
      <c r="C59">
        <v>4</v>
      </c>
      <c r="D59">
        <v>4</v>
      </c>
      <c r="E59">
        <v>2</v>
      </c>
      <c r="F59">
        <v>2350</v>
      </c>
      <c r="G59" s="3">
        <v>12</v>
      </c>
      <c r="H59" s="3">
        <v>1</v>
      </c>
      <c r="I59" s="3">
        <v>1</v>
      </c>
      <c r="J59" s="3">
        <v>3.2857142857142856</v>
      </c>
      <c r="K59" s="3">
        <v>1.5714285714285714</v>
      </c>
      <c r="L59" s="3">
        <v>6</v>
      </c>
      <c r="M59" s="3">
        <v>2</v>
      </c>
      <c r="N59" s="3">
        <v>156</v>
      </c>
      <c r="O59" s="3">
        <v>1</v>
      </c>
      <c r="P59" s="3">
        <v>1</v>
      </c>
      <c r="Q59" s="3">
        <f>Q58</f>
        <v>262</v>
      </c>
      <c r="R59" s="3">
        <f>R58</f>
        <v>4.7857142857142856</v>
      </c>
      <c r="S59" s="3">
        <f>S58</f>
        <v>2.0714285714285716</v>
      </c>
      <c r="T59" s="3">
        <v>20</v>
      </c>
      <c r="U59" s="3">
        <v>9</v>
      </c>
      <c r="V59" s="3">
        <v>0</v>
      </c>
      <c r="W59" s="3">
        <v>0</v>
      </c>
      <c r="X59" s="4">
        <v>1</v>
      </c>
      <c r="Y59" s="4">
        <v>2</v>
      </c>
      <c r="Z59" s="3">
        <f>Z51+2</f>
        <v>12</v>
      </c>
      <c r="AA59" s="3">
        <v>0</v>
      </c>
      <c r="AB59" s="3">
        <v>0</v>
      </c>
      <c r="AC59" s="3">
        <v>3.7999999999999999E-2</v>
      </c>
      <c r="AD59" s="3">
        <v>0</v>
      </c>
      <c r="AE59" s="3">
        <v>0</v>
      </c>
      <c r="AF59" s="3">
        <v>0</v>
      </c>
      <c r="AG59" s="3">
        <v>0.30099999999999999</v>
      </c>
      <c r="AH59" s="3">
        <v>0</v>
      </c>
    </row>
    <row r="60" spans="1:34" s="3" customFormat="1" x14ac:dyDescent="0.3">
      <c r="A60" s="3">
        <v>8</v>
      </c>
      <c r="B60">
        <v>3</v>
      </c>
      <c r="C60">
        <v>4</v>
      </c>
      <c r="D60">
        <v>4</v>
      </c>
      <c r="E60">
        <v>2</v>
      </c>
      <c r="F60">
        <v>2350</v>
      </c>
      <c r="G60" s="3">
        <v>16</v>
      </c>
      <c r="H60" s="3">
        <v>2</v>
      </c>
      <c r="I60" s="3">
        <v>2</v>
      </c>
      <c r="J60" s="3">
        <v>7.7142857142857144</v>
      </c>
      <c r="K60" s="3">
        <v>5.2857142857142856</v>
      </c>
      <c r="L60" s="3">
        <v>12</v>
      </c>
      <c r="M60" s="3">
        <v>7.333333333333333</v>
      </c>
      <c r="N60" s="3">
        <v>75</v>
      </c>
      <c r="O60" s="3">
        <v>4</v>
      </c>
      <c r="P60" s="3">
        <v>2</v>
      </c>
      <c r="Q60" s="3">
        <f t="shared" ref="Q60" si="58">N60+N61</f>
        <v>190</v>
      </c>
      <c r="R60" s="3">
        <f>(J60+J61)/2</f>
        <v>5.5714285714285712</v>
      </c>
      <c r="S60" s="3">
        <f t="shared" ref="S60" si="59">(K60+K61)/2</f>
        <v>4.9285714285714288</v>
      </c>
      <c r="T60" s="3">
        <v>4.75</v>
      </c>
      <c r="U60" s="3">
        <v>6.13</v>
      </c>
      <c r="V60" s="3">
        <v>1</v>
      </c>
      <c r="W60" s="3">
        <v>5</v>
      </c>
      <c r="X60" s="3">
        <v>2</v>
      </c>
      <c r="Y60" s="3">
        <v>2</v>
      </c>
      <c r="Z60" s="3">
        <v>4</v>
      </c>
      <c r="AB60" s="3">
        <v>0.84099999999999997</v>
      </c>
      <c r="AC60" s="3">
        <v>0.35599999999999998</v>
      </c>
      <c r="AD60" s="3">
        <v>0</v>
      </c>
      <c r="AE60" s="3">
        <v>0</v>
      </c>
      <c r="AF60" s="3">
        <v>0</v>
      </c>
      <c r="AG60" s="3">
        <v>0.23599999999999999</v>
      </c>
      <c r="AH60" s="3">
        <v>0</v>
      </c>
    </row>
    <row r="61" spans="1:34" s="3" customFormat="1" x14ac:dyDescent="0.3">
      <c r="A61" s="3">
        <v>8</v>
      </c>
      <c r="B61">
        <v>3</v>
      </c>
      <c r="C61">
        <v>4</v>
      </c>
      <c r="D61">
        <v>4</v>
      </c>
      <c r="E61">
        <v>2</v>
      </c>
      <c r="F61">
        <v>2350</v>
      </c>
      <c r="G61" s="3">
        <v>44</v>
      </c>
      <c r="H61" s="3">
        <v>2</v>
      </c>
      <c r="I61" s="3">
        <v>2</v>
      </c>
      <c r="J61" s="3">
        <v>3.4285714285714284</v>
      </c>
      <c r="K61" s="3">
        <v>4.5714285714285712</v>
      </c>
      <c r="L61" s="3">
        <v>1.6666666666666667</v>
      </c>
      <c r="M61" s="3">
        <v>3.3333333333333335</v>
      </c>
      <c r="N61" s="3">
        <v>115</v>
      </c>
      <c r="O61" s="3">
        <v>2</v>
      </c>
      <c r="P61" s="3">
        <v>2</v>
      </c>
      <c r="Q61" s="3">
        <f>Q60</f>
        <v>190</v>
      </c>
      <c r="R61" s="3">
        <f>R60</f>
        <v>5.5714285714285712</v>
      </c>
      <c r="S61" s="3">
        <f>S60</f>
        <v>4.9285714285714288</v>
      </c>
      <c r="T61" s="3">
        <v>3.37</v>
      </c>
      <c r="U61" s="3">
        <v>4.67</v>
      </c>
      <c r="V61" s="3">
        <v>2</v>
      </c>
      <c r="W61" s="3">
        <v>4</v>
      </c>
      <c r="X61" s="3">
        <v>0</v>
      </c>
      <c r="Y61" s="3">
        <v>2</v>
      </c>
      <c r="Z61" s="3">
        <v>4</v>
      </c>
      <c r="AA61" s="3">
        <v>0.66500000000000004</v>
      </c>
      <c r="AB61" s="3">
        <v>0.59699999999999998</v>
      </c>
      <c r="AC61" s="3">
        <v>0.115</v>
      </c>
      <c r="AD61" s="3">
        <v>0</v>
      </c>
      <c r="AE61" s="3">
        <v>0</v>
      </c>
      <c r="AF61" s="3">
        <v>0</v>
      </c>
      <c r="AG61" s="3">
        <v>0.29499999999999998</v>
      </c>
      <c r="AH61" s="3">
        <v>0</v>
      </c>
    </row>
    <row r="62" spans="1:34" s="3" customFormat="1" x14ac:dyDescent="0.3">
      <c r="A62" s="3">
        <v>8</v>
      </c>
      <c r="B62">
        <v>3</v>
      </c>
      <c r="C62">
        <v>4</v>
      </c>
      <c r="D62">
        <v>4</v>
      </c>
      <c r="E62">
        <v>2</v>
      </c>
      <c r="F62">
        <v>2350</v>
      </c>
      <c r="G62" s="3">
        <v>1</v>
      </c>
      <c r="H62" s="3">
        <v>3</v>
      </c>
      <c r="I62" s="3">
        <v>1</v>
      </c>
      <c r="J62" s="3">
        <v>10.285714285714286</v>
      </c>
      <c r="K62" s="3">
        <v>5.1428571428571432</v>
      </c>
      <c r="L62" s="3">
        <v>13.333333333333334</v>
      </c>
      <c r="M62" s="3">
        <v>5</v>
      </c>
      <c r="N62" s="3">
        <v>73</v>
      </c>
      <c r="O62" s="3">
        <v>5</v>
      </c>
      <c r="P62" s="3">
        <v>3</v>
      </c>
      <c r="Q62" s="3">
        <f t="shared" ref="Q62" si="60">N62+N63</f>
        <v>141</v>
      </c>
      <c r="R62" s="3">
        <f t="shared" ref="R62" si="61">(J62+J63)/2</f>
        <v>9.8571428571428577</v>
      </c>
      <c r="S62" s="3">
        <f t="shared" ref="S62" si="62">(K62+K63)/2</f>
        <v>5.2857142857142865</v>
      </c>
      <c r="T62" s="3">
        <v>6.29</v>
      </c>
      <c r="U62" s="3">
        <v>3.86</v>
      </c>
      <c r="V62" s="3">
        <v>1</v>
      </c>
      <c r="W62" s="3">
        <v>3</v>
      </c>
      <c r="X62" s="3">
        <v>3</v>
      </c>
      <c r="Y62" s="3">
        <v>5</v>
      </c>
      <c r="Z62" s="3">
        <f t="shared" ref="Z62:Z63" si="63">Z54+2</f>
        <v>12</v>
      </c>
      <c r="AA62" s="3">
        <v>1.077</v>
      </c>
      <c r="AB62" s="3">
        <v>0.32500000000000001</v>
      </c>
      <c r="AC62" s="3">
        <v>0.26400000000000001</v>
      </c>
      <c r="AD62" s="3">
        <v>0</v>
      </c>
      <c r="AE62" s="3">
        <v>0</v>
      </c>
      <c r="AF62" s="3">
        <v>0</v>
      </c>
      <c r="AG62" s="3">
        <v>0.38900000000000001</v>
      </c>
      <c r="AH62" s="3">
        <v>0</v>
      </c>
    </row>
    <row r="63" spans="1:34" s="3" customFormat="1" x14ac:dyDescent="0.3">
      <c r="A63" s="3">
        <v>8</v>
      </c>
      <c r="B63">
        <v>3</v>
      </c>
      <c r="C63">
        <v>4</v>
      </c>
      <c r="D63">
        <v>4</v>
      </c>
      <c r="E63">
        <v>2</v>
      </c>
      <c r="F63">
        <v>2350</v>
      </c>
      <c r="G63" s="3">
        <v>81</v>
      </c>
      <c r="H63" s="3">
        <v>3</v>
      </c>
      <c r="I63" s="3">
        <v>1</v>
      </c>
      <c r="J63" s="3">
        <v>9.4285714285714288</v>
      </c>
      <c r="K63" s="3">
        <v>5.4285714285714288</v>
      </c>
      <c r="L63" s="3">
        <v>7</v>
      </c>
      <c r="M63" s="3">
        <v>6</v>
      </c>
      <c r="N63" s="3">
        <v>68</v>
      </c>
      <c r="O63" s="3">
        <v>6</v>
      </c>
      <c r="P63" s="3">
        <v>3</v>
      </c>
      <c r="Q63" s="3">
        <f>Q62</f>
        <v>141</v>
      </c>
      <c r="R63" s="3">
        <f>R62</f>
        <v>9.8571428571428577</v>
      </c>
      <c r="S63" s="3">
        <f>S62</f>
        <v>5.2857142857142865</v>
      </c>
      <c r="T63" s="3">
        <v>6.6669999999999998</v>
      </c>
      <c r="U63" s="3">
        <v>7.67</v>
      </c>
      <c r="V63" s="3">
        <v>0</v>
      </c>
      <c r="W63" s="3">
        <v>2</v>
      </c>
      <c r="X63" s="3">
        <v>2</v>
      </c>
      <c r="Y63" s="3">
        <v>5</v>
      </c>
      <c r="Z63" s="3">
        <f t="shared" si="63"/>
        <v>12</v>
      </c>
      <c r="AA63" s="3">
        <v>0.11700000000000001</v>
      </c>
      <c r="AB63" s="3">
        <v>0.23699999999999999</v>
      </c>
      <c r="AC63" s="3">
        <v>0.248</v>
      </c>
      <c r="AD63" s="3">
        <v>0</v>
      </c>
      <c r="AE63" s="3">
        <v>0</v>
      </c>
      <c r="AF63" s="3">
        <v>0</v>
      </c>
      <c r="AG63" s="3">
        <v>0.39800000000000002</v>
      </c>
      <c r="AH63" s="3">
        <v>0</v>
      </c>
    </row>
    <row r="64" spans="1:34" s="3" customFormat="1" x14ac:dyDescent="0.3">
      <c r="A64" s="3">
        <v>8</v>
      </c>
      <c r="B64">
        <v>3</v>
      </c>
      <c r="C64">
        <v>4</v>
      </c>
      <c r="D64">
        <v>4</v>
      </c>
      <c r="E64">
        <v>2</v>
      </c>
      <c r="F64">
        <v>2350</v>
      </c>
      <c r="G64" s="3">
        <v>3</v>
      </c>
      <c r="H64" s="3">
        <v>4</v>
      </c>
      <c r="I64" s="3">
        <v>3</v>
      </c>
      <c r="J64" s="3">
        <v>9.1428571428571423</v>
      </c>
      <c r="K64" s="3">
        <v>7.7142857142857144</v>
      </c>
      <c r="L64" s="3">
        <v>9.6666666666666661</v>
      </c>
      <c r="M64" s="3">
        <v>4.333333333333333</v>
      </c>
      <c r="N64" s="3">
        <v>55</v>
      </c>
      <c r="O64" s="3">
        <v>7</v>
      </c>
      <c r="P64" s="3">
        <v>4</v>
      </c>
      <c r="Q64" s="3">
        <f t="shared" ref="Q64" si="64">SUM(N64:N65)</f>
        <v>89</v>
      </c>
      <c r="R64" s="3">
        <f t="shared" ref="R64" si="65">SUM(J64:J65)/2</f>
        <v>10.071428571428571</v>
      </c>
      <c r="S64" s="3">
        <f t="shared" ref="S64" si="66">SUM(K64:K65)/2</f>
        <v>8.1428571428571423</v>
      </c>
      <c r="T64" s="3">
        <v>2.63</v>
      </c>
      <c r="U64" s="3">
        <v>3.55</v>
      </c>
      <c r="V64" s="3">
        <v>4</v>
      </c>
      <c r="W64" s="3">
        <v>6</v>
      </c>
      <c r="X64" s="3">
        <v>2</v>
      </c>
      <c r="Y64" s="3">
        <v>4</v>
      </c>
      <c r="Z64" s="3">
        <v>6</v>
      </c>
      <c r="AA64" s="3">
        <v>0.28100000000000003</v>
      </c>
      <c r="AB64" s="3">
        <v>0.55000000000000004</v>
      </c>
      <c r="AC64" s="3">
        <v>0.27300000000000002</v>
      </c>
      <c r="AD64" s="3">
        <v>0</v>
      </c>
      <c r="AE64" s="3">
        <v>0</v>
      </c>
      <c r="AF64" s="3">
        <v>0</v>
      </c>
      <c r="AG64" s="3">
        <v>0.36199999999999999</v>
      </c>
      <c r="AH64" s="3">
        <v>0</v>
      </c>
    </row>
    <row r="65" spans="1:34" s="3" customFormat="1" x14ac:dyDescent="0.3">
      <c r="A65" s="3">
        <v>8</v>
      </c>
      <c r="B65">
        <v>3</v>
      </c>
      <c r="C65">
        <v>4</v>
      </c>
      <c r="D65">
        <v>4</v>
      </c>
      <c r="E65">
        <v>2</v>
      </c>
      <c r="F65">
        <v>2350</v>
      </c>
      <c r="G65" s="3">
        <v>6</v>
      </c>
      <c r="H65" s="3">
        <v>4</v>
      </c>
      <c r="I65" s="3">
        <v>3</v>
      </c>
      <c r="J65" s="3">
        <v>11</v>
      </c>
      <c r="K65" s="3">
        <v>8.5714285714285712</v>
      </c>
      <c r="L65" s="3">
        <v>5</v>
      </c>
      <c r="M65" s="3">
        <v>6</v>
      </c>
      <c r="N65" s="3">
        <v>34</v>
      </c>
      <c r="O65" s="3">
        <v>9</v>
      </c>
      <c r="P65" s="3">
        <v>4</v>
      </c>
      <c r="Q65" s="3">
        <f>Q64</f>
        <v>89</v>
      </c>
      <c r="R65" s="3">
        <f>R64</f>
        <v>10.071428571428571</v>
      </c>
      <c r="S65" s="3">
        <f>S64</f>
        <v>8.1428571428571423</v>
      </c>
      <c r="T65" s="3">
        <v>12</v>
      </c>
      <c r="U65" s="3">
        <v>13</v>
      </c>
      <c r="V65" s="3">
        <v>0</v>
      </c>
      <c r="W65" s="3">
        <v>0</v>
      </c>
      <c r="X65" s="3">
        <v>2</v>
      </c>
      <c r="Y65" s="3">
        <v>4</v>
      </c>
      <c r="Z65" s="3">
        <v>6</v>
      </c>
      <c r="AA65" s="3">
        <v>1.6850000000000001</v>
      </c>
      <c r="AB65" s="3">
        <v>0.74399999999999999</v>
      </c>
      <c r="AC65" s="3">
        <v>0.81599999999999995</v>
      </c>
      <c r="AD65" s="3">
        <v>0</v>
      </c>
      <c r="AE65" s="3">
        <v>0</v>
      </c>
      <c r="AF65" s="3">
        <v>0</v>
      </c>
      <c r="AG65" s="3">
        <v>0.51900000000000002</v>
      </c>
      <c r="AH65" s="3">
        <v>0</v>
      </c>
    </row>
    <row r="66" spans="1:34" x14ac:dyDescent="0.3">
      <c r="A66" s="1">
        <v>9</v>
      </c>
      <c r="B66" s="1">
        <v>4</v>
      </c>
      <c r="C66" s="1">
        <v>6</v>
      </c>
      <c r="D66" s="1">
        <v>5</v>
      </c>
      <c r="E66" s="1">
        <v>7</v>
      </c>
      <c r="F66" s="1">
        <v>1940</v>
      </c>
      <c r="G66" s="1">
        <v>63</v>
      </c>
      <c r="H66" s="3">
        <v>1</v>
      </c>
      <c r="I66" s="3">
        <v>1</v>
      </c>
      <c r="J66">
        <v>5.625</v>
      </c>
      <c r="K66">
        <v>2.375</v>
      </c>
      <c r="L66">
        <v>5</v>
      </c>
      <c r="M66">
        <v>2.6666666666666665</v>
      </c>
      <c r="N66">
        <v>131</v>
      </c>
      <c r="O66">
        <v>2</v>
      </c>
      <c r="P66">
        <v>1</v>
      </c>
      <c r="Q66">
        <f>N66+N67</f>
        <v>302</v>
      </c>
      <c r="R66">
        <v>4.083333333333333</v>
      </c>
      <c r="S66">
        <v>2.0833333333333335</v>
      </c>
      <c r="T66">
        <v>11.83</v>
      </c>
      <c r="U66">
        <v>10.63</v>
      </c>
      <c r="V66">
        <v>0</v>
      </c>
      <c r="W66">
        <v>0</v>
      </c>
      <c r="X66" s="3">
        <v>1</v>
      </c>
      <c r="Y66" s="4">
        <v>2</v>
      </c>
      <c r="Z66">
        <v>13</v>
      </c>
      <c r="AB66" s="3">
        <v>0</v>
      </c>
      <c r="AC66" s="3">
        <v>0</v>
      </c>
      <c r="AD66" s="3">
        <v>1</v>
      </c>
    </row>
    <row r="67" spans="1:34" x14ac:dyDescent="0.3">
      <c r="A67" s="1">
        <v>9</v>
      </c>
      <c r="B67" s="1">
        <v>4</v>
      </c>
      <c r="C67" s="1">
        <v>6</v>
      </c>
      <c r="D67" s="1">
        <v>5</v>
      </c>
      <c r="E67" s="1">
        <v>7</v>
      </c>
      <c r="F67" s="1">
        <v>1940</v>
      </c>
      <c r="G67" s="1">
        <v>12</v>
      </c>
      <c r="H67" s="3">
        <v>1</v>
      </c>
      <c r="I67" s="3">
        <v>1</v>
      </c>
      <c r="J67">
        <v>3.25</v>
      </c>
      <c r="K67">
        <v>1.875</v>
      </c>
      <c r="L67">
        <v>6.666666666666667</v>
      </c>
      <c r="M67">
        <v>2.6666666666666665</v>
      </c>
      <c r="N67">
        <v>171</v>
      </c>
      <c r="O67">
        <v>1</v>
      </c>
      <c r="P67">
        <v>1</v>
      </c>
      <c r="Q67">
        <f>Q66</f>
        <v>302</v>
      </c>
      <c r="R67">
        <v>4.083333333333333</v>
      </c>
      <c r="S67">
        <v>2.0833333333333335</v>
      </c>
      <c r="T67">
        <v>16</v>
      </c>
      <c r="U67">
        <v>7</v>
      </c>
      <c r="V67">
        <v>0</v>
      </c>
      <c r="W67">
        <v>0</v>
      </c>
      <c r="X67" s="4">
        <v>1</v>
      </c>
      <c r="Y67" s="4">
        <v>2</v>
      </c>
      <c r="Z67">
        <v>13</v>
      </c>
      <c r="AB67" s="3">
        <v>0</v>
      </c>
      <c r="AC67" s="3">
        <v>0</v>
      </c>
      <c r="AD67" s="3">
        <v>1</v>
      </c>
    </row>
    <row r="68" spans="1:34" x14ac:dyDescent="0.3">
      <c r="A68" s="1">
        <v>9</v>
      </c>
      <c r="B68" s="1">
        <v>4</v>
      </c>
      <c r="C68" s="1">
        <v>6</v>
      </c>
      <c r="D68" s="1">
        <v>5</v>
      </c>
      <c r="E68" s="1">
        <v>7</v>
      </c>
      <c r="F68" s="1">
        <v>1940</v>
      </c>
      <c r="G68" s="1">
        <v>16</v>
      </c>
      <c r="H68" s="3">
        <v>2</v>
      </c>
      <c r="I68" s="3">
        <v>2</v>
      </c>
      <c r="J68">
        <v>7.75</v>
      </c>
      <c r="K68">
        <v>4.875</v>
      </c>
      <c r="L68">
        <v>13.333333333333334</v>
      </c>
      <c r="M68">
        <v>5.333333333333333</v>
      </c>
      <c r="N68">
        <v>79</v>
      </c>
      <c r="O68">
        <v>6</v>
      </c>
      <c r="P68">
        <v>2</v>
      </c>
      <c r="Q68">
        <f t="shared" ref="Q68:Q73" si="67">N68+N69</f>
        <v>204</v>
      </c>
      <c r="R68">
        <v>5.166666666666667</v>
      </c>
      <c r="S68">
        <v>4.75</v>
      </c>
      <c r="T68">
        <v>6.63</v>
      </c>
      <c r="U68">
        <v>5.78</v>
      </c>
      <c r="V68">
        <v>0</v>
      </c>
      <c r="W68">
        <v>3</v>
      </c>
      <c r="X68" s="3">
        <v>2</v>
      </c>
      <c r="Y68" s="3">
        <v>2</v>
      </c>
      <c r="Z68">
        <v>6</v>
      </c>
      <c r="AB68" s="3">
        <v>0</v>
      </c>
      <c r="AC68" s="3">
        <v>0</v>
      </c>
      <c r="AD68" s="3">
        <v>1</v>
      </c>
    </row>
    <row r="69" spans="1:34" x14ac:dyDescent="0.3">
      <c r="A69" s="1">
        <v>9</v>
      </c>
      <c r="B69" s="1">
        <v>4</v>
      </c>
      <c r="C69" s="1">
        <v>6</v>
      </c>
      <c r="D69" s="1">
        <v>5</v>
      </c>
      <c r="E69" s="1">
        <v>7</v>
      </c>
      <c r="F69" s="1">
        <v>1940</v>
      </c>
      <c r="G69" s="1">
        <v>44</v>
      </c>
      <c r="H69" s="3">
        <v>2</v>
      </c>
      <c r="I69" s="3">
        <v>2</v>
      </c>
      <c r="J69">
        <v>3.625</v>
      </c>
      <c r="K69">
        <v>4.375</v>
      </c>
      <c r="L69">
        <v>2.6666666666666665</v>
      </c>
      <c r="M69">
        <v>2.6666666666666665</v>
      </c>
      <c r="N69">
        <v>125</v>
      </c>
      <c r="O69">
        <v>3</v>
      </c>
      <c r="P69">
        <v>2</v>
      </c>
      <c r="Q69">
        <f>Q68</f>
        <v>204</v>
      </c>
      <c r="R69">
        <v>5.166666666666667</v>
      </c>
      <c r="S69">
        <v>4.75</v>
      </c>
      <c r="T69">
        <v>3</v>
      </c>
      <c r="U69">
        <v>4.0999999999999996</v>
      </c>
      <c r="V69">
        <v>9</v>
      </c>
      <c r="W69">
        <v>15</v>
      </c>
      <c r="X69" s="3">
        <v>0</v>
      </c>
      <c r="Y69" s="3">
        <v>2</v>
      </c>
      <c r="Z69">
        <v>6</v>
      </c>
      <c r="AB69" s="3">
        <v>0</v>
      </c>
      <c r="AC69" s="3">
        <v>0</v>
      </c>
      <c r="AD69" s="3">
        <v>1</v>
      </c>
    </row>
    <row r="70" spans="1:34" x14ac:dyDescent="0.3">
      <c r="A70" s="1">
        <v>9</v>
      </c>
      <c r="B70" s="1">
        <v>4</v>
      </c>
      <c r="C70" s="1">
        <v>6</v>
      </c>
      <c r="D70" s="1">
        <v>5</v>
      </c>
      <c r="E70" s="1">
        <v>7</v>
      </c>
      <c r="F70" s="1">
        <v>1940</v>
      </c>
      <c r="G70" s="1">
        <v>1</v>
      </c>
      <c r="H70" s="3">
        <v>3</v>
      </c>
      <c r="I70" s="3">
        <v>1</v>
      </c>
      <c r="J70">
        <v>9.875</v>
      </c>
      <c r="K70">
        <v>5.25</v>
      </c>
      <c r="L70">
        <v>9.6666666666666661</v>
      </c>
      <c r="M70">
        <v>6</v>
      </c>
      <c r="N70">
        <v>79</v>
      </c>
      <c r="O70">
        <v>5</v>
      </c>
      <c r="P70">
        <v>3</v>
      </c>
      <c r="Q70">
        <f t="shared" si="67"/>
        <v>159</v>
      </c>
      <c r="R70">
        <v>10.833333333333332</v>
      </c>
      <c r="S70">
        <v>5.25</v>
      </c>
      <c r="T70">
        <v>5.13</v>
      </c>
      <c r="U70">
        <v>5.25</v>
      </c>
      <c r="V70">
        <v>1</v>
      </c>
      <c r="W70">
        <v>3</v>
      </c>
      <c r="X70" s="3">
        <v>3</v>
      </c>
      <c r="Y70" s="3">
        <v>5</v>
      </c>
      <c r="Z70">
        <v>13</v>
      </c>
      <c r="AB70" s="3">
        <v>0</v>
      </c>
      <c r="AC70" s="3">
        <v>0</v>
      </c>
      <c r="AD70" s="3">
        <v>1</v>
      </c>
    </row>
    <row r="71" spans="1:34" x14ac:dyDescent="0.3">
      <c r="A71" s="1">
        <v>9</v>
      </c>
      <c r="B71" s="1">
        <v>4</v>
      </c>
      <c r="C71" s="1">
        <v>6</v>
      </c>
      <c r="D71" s="1">
        <v>5</v>
      </c>
      <c r="E71" s="1">
        <v>7</v>
      </c>
      <c r="F71" s="1">
        <v>1940</v>
      </c>
      <c r="G71" s="1">
        <v>81</v>
      </c>
      <c r="H71" s="3">
        <v>3</v>
      </c>
      <c r="I71" s="3">
        <v>1</v>
      </c>
      <c r="J71">
        <v>8.75</v>
      </c>
      <c r="K71">
        <v>5.625</v>
      </c>
      <c r="L71">
        <v>4.666666666666667</v>
      </c>
      <c r="M71">
        <v>7</v>
      </c>
      <c r="N71">
        <v>80</v>
      </c>
      <c r="O71">
        <v>4</v>
      </c>
      <c r="P71">
        <v>3</v>
      </c>
      <c r="Q71">
        <f>Q70</f>
        <v>159</v>
      </c>
      <c r="R71">
        <v>10.833333333333332</v>
      </c>
      <c r="S71">
        <v>5.25</v>
      </c>
      <c r="T71">
        <v>3.33</v>
      </c>
      <c r="U71">
        <v>3.33</v>
      </c>
      <c r="V71">
        <v>0</v>
      </c>
      <c r="W71">
        <v>1</v>
      </c>
      <c r="X71" s="3">
        <v>2</v>
      </c>
      <c r="Y71" s="3">
        <v>5</v>
      </c>
      <c r="Z71">
        <v>13</v>
      </c>
      <c r="AB71" s="3">
        <v>0</v>
      </c>
      <c r="AC71" s="3">
        <v>0</v>
      </c>
      <c r="AD71" s="3">
        <v>1</v>
      </c>
    </row>
    <row r="72" spans="1:34" x14ac:dyDescent="0.3">
      <c r="A72" s="1">
        <v>9</v>
      </c>
      <c r="B72" s="1">
        <v>4</v>
      </c>
      <c r="C72" s="1">
        <v>6</v>
      </c>
      <c r="D72" s="1">
        <v>5</v>
      </c>
      <c r="E72" s="1">
        <v>7</v>
      </c>
      <c r="F72" s="1">
        <v>1940</v>
      </c>
      <c r="G72" s="1">
        <v>3</v>
      </c>
      <c r="H72" s="3">
        <v>4</v>
      </c>
      <c r="I72" s="3">
        <v>3</v>
      </c>
      <c r="J72">
        <v>8.25</v>
      </c>
      <c r="K72">
        <v>7.375</v>
      </c>
      <c r="L72">
        <v>9.3333333333333339</v>
      </c>
      <c r="M72">
        <v>4</v>
      </c>
      <c r="N72">
        <v>73</v>
      </c>
      <c r="O72">
        <v>7</v>
      </c>
      <c r="P72">
        <v>4</v>
      </c>
      <c r="Q72">
        <f t="shared" si="67"/>
        <v>115</v>
      </c>
      <c r="R72">
        <v>10.916666666666668</v>
      </c>
      <c r="S72">
        <v>8.5833333333333321</v>
      </c>
      <c r="T72">
        <v>4.4000000000000004</v>
      </c>
      <c r="U72">
        <v>3.75</v>
      </c>
      <c r="V72">
        <v>2</v>
      </c>
      <c r="W72">
        <v>5</v>
      </c>
      <c r="X72" s="3">
        <v>2</v>
      </c>
      <c r="Y72" s="3">
        <v>4</v>
      </c>
      <c r="Z72">
        <v>6</v>
      </c>
      <c r="AB72" s="3">
        <v>0</v>
      </c>
      <c r="AC72" s="3">
        <v>0</v>
      </c>
      <c r="AD72" s="3">
        <v>1</v>
      </c>
    </row>
    <row r="73" spans="1:34" x14ac:dyDescent="0.3">
      <c r="A73" s="1">
        <v>9</v>
      </c>
      <c r="B73" s="1">
        <v>4</v>
      </c>
      <c r="C73" s="1">
        <v>6</v>
      </c>
      <c r="D73" s="1">
        <v>5</v>
      </c>
      <c r="E73" s="1">
        <v>7</v>
      </c>
      <c r="F73" s="1">
        <v>1940</v>
      </c>
      <c r="G73" s="1">
        <v>6</v>
      </c>
      <c r="H73" s="3">
        <v>4</v>
      </c>
      <c r="I73" s="3">
        <v>3</v>
      </c>
      <c r="J73">
        <v>10.375</v>
      </c>
      <c r="K73">
        <v>8.5</v>
      </c>
      <c r="L73">
        <v>5.333333333333333</v>
      </c>
      <c r="M73">
        <v>6.333333333333333</v>
      </c>
      <c r="N73">
        <v>42</v>
      </c>
      <c r="O73">
        <v>8</v>
      </c>
      <c r="P73">
        <v>4</v>
      </c>
      <c r="Q73">
        <f>Q72</f>
        <v>115</v>
      </c>
      <c r="R73">
        <v>10.916666666666668</v>
      </c>
      <c r="S73">
        <v>8.5833333333333321</v>
      </c>
      <c r="T73">
        <v>17</v>
      </c>
      <c r="U73">
        <v>13</v>
      </c>
      <c r="V73">
        <v>0</v>
      </c>
      <c r="W73">
        <v>0</v>
      </c>
      <c r="X73" s="3">
        <v>2</v>
      </c>
      <c r="Y73" s="3">
        <v>4</v>
      </c>
      <c r="Z73">
        <v>6</v>
      </c>
      <c r="AB73" s="3">
        <v>0</v>
      </c>
      <c r="AC73" s="3">
        <v>0</v>
      </c>
      <c r="AD73" s="3">
        <v>1</v>
      </c>
    </row>
    <row r="77" spans="1:34" x14ac:dyDescent="0.3">
      <c r="X77" s="2"/>
    </row>
    <row r="78" spans="1:34" x14ac:dyDescent="0.3">
      <c r="X78" s="2"/>
    </row>
    <row r="79" spans="1:34" x14ac:dyDescent="0.3">
      <c r="X79" s="2"/>
    </row>
  </sheetData>
  <autoFilter ref="A1:AH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49B5-08E0-42B3-BBFB-6E3D64DB0D12}">
  <dimension ref="A1:Y310"/>
  <sheetViews>
    <sheetView topLeftCell="A282" workbookViewId="0">
      <selection activeCell="N297" sqref="N297"/>
    </sheetView>
  </sheetViews>
  <sheetFormatPr defaultRowHeight="14.4" x14ac:dyDescent="0.3"/>
  <cols>
    <col min="1" max="1" width="6.77734375" bestFit="1" customWidth="1"/>
    <col min="2" max="2" width="6.21875" bestFit="1" customWidth="1"/>
    <col min="3" max="3" width="18.88671875" bestFit="1" customWidth="1"/>
    <col min="4" max="4" width="13.44140625" bestFit="1" customWidth="1"/>
    <col min="5" max="5" width="8.109375" style="2" bestFit="1" customWidth="1"/>
    <col min="6" max="7" width="8.109375" bestFit="1" customWidth="1"/>
    <col min="8" max="8" width="7" bestFit="1" customWidth="1"/>
    <col min="9" max="9" width="6.77734375" bestFit="1" customWidth="1"/>
    <col min="10" max="10" width="6.21875" bestFit="1" customWidth="1"/>
    <col min="11" max="11" width="6.77734375" bestFit="1" customWidth="1"/>
    <col min="12" max="12" width="6.21875" bestFit="1" customWidth="1"/>
    <col min="13" max="13" width="19.6640625" bestFit="1" customWidth="1"/>
    <col min="14" max="14" width="14.109375" style="2" bestFit="1" customWidth="1"/>
    <col min="15" max="15" width="12.6640625" style="2" bestFit="1" customWidth="1"/>
    <col min="16" max="16" width="7" bestFit="1" customWidth="1"/>
    <col min="17" max="17" width="6.21875" bestFit="1" customWidth="1"/>
    <col min="18" max="18" width="6.77734375" bestFit="1" customWidth="1"/>
    <col min="19" max="19" width="6.21875" bestFit="1" customWidth="1"/>
    <col min="20" max="20" width="6.77734375" bestFit="1" customWidth="1"/>
    <col min="21" max="21" width="6.21875" bestFit="1" customWidth="1"/>
    <col min="22" max="22" width="18.88671875" bestFit="1" customWidth="1"/>
    <col min="23" max="23" width="13.44140625" bestFit="1" customWidth="1"/>
    <col min="24" max="24" width="12.44140625" bestFit="1" customWidth="1"/>
    <col min="25" max="25" width="7" bestFit="1" customWidth="1"/>
  </cols>
  <sheetData>
    <row r="1" spans="1:22" x14ac:dyDescent="0.3">
      <c r="A1" t="s">
        <v>113</v>
      </c>
      <c r="H1" t="s">
        <v>115</v>
      </c>
      <c r="R1" t="s">
        <v>138</v>
      </c>
    </row>
    <row r="2" spans="1:22" x14ac:dyDescent="0.3">
      <c r="A2" t="s">
        <v>78</v>
      </c>
      <c r="B2" t="s">
        <v>79</v>
      </c>
      <c r="C2" t="s">
        <v>80</v>
      </c>
      <c r="D2" t="s">
        <v>81</v>
      </c>
      <c r="E2" s="2" t="s">
        <v>82</v>
      </c>
      <c r="F2" t="s">
        <v>83</v>
      </c>
      <c r="H2" t="s">
        <v>78</v>
      </c>
      <c r="I2" t="s">
        <v>79</v>
      </c>
      <c r="J2" t="s">
        <v>80</v>
      </c>
      <c r="K2" t="s">
        <v>81</v>
      </c>
      <c r="L2" t="s">
        <v>116</v>
      </c>
      <c r="M2" t="s">
        <v>117</v>
      </c>
      <c r="N2" s="2" t="s">
        <v>118</v>
      </c>
      <c r="O2" s="2" t="s">
        <v>137</v>
      </c>
      <c r="P2" t="s">
        <v>83</v>
      </c>
      <c r="R2" t="s">
        <v>78</v>
      </c>
      <c r="S2" t="s">
        <v>79</v>
      </c>
      <c r="T2" t="s">
        <v>80</v>
      </c>
      <c r="U2" t="s">
        <v>81</v>
      </c>
      <c r="V2" t="s">
        <v>139</v>
      </c>
    </row>
    <row r="3" spans="1:22" x14ac:dyDescent="0.3">
      <c r="A3">
        <v>3</v>
      </c>
      <c r="B3">
        <v>63</v>
      </c>
      <c r="C3" t="s">
        <v>87</v>
      </c>
      <c r="D3" t="s">
        <v>86</v>
      </c>
      <c r="E3" s="2">
        <v>0.32</v>
      </c>
      <c r="F3">
        <v>28</v>
      </c>
      <c r="H3">
        <v>1</v>
      </c>
      <c r="I3">
        <v>63</v>
      </c>
      <c r="J3" t="s">
        <v>87</v>
      </c>
      <c r="K3" t="s">
        <v>86</v>
      </c>
      <c r="L3">
        <v>19.507000000000001</v>
      </c>
      <c r="M3">
        <v>18.934000000000001</v>
      </c>
      <c r="N3" s="2">
        <v>18.518000000000001</v>
      </c>
      <c r="O3" s="2">
        <v>0</v>
      </c>
      <c r="P3">
        <v>22</v>
      </c>
      <c r="R3">
        <v>1</v>
      </c>
      <c r="S3">
        <v>63</v>
      </c>
      <c r="T3" t="s">
        <v>87</v>
      </c>
      <c r="U3" t="s">
        <v>86</v>
      </c>
      <c r="V3" t="s">
        <v>119</v>
      </c>
    </row>
    <row r="4" spans="1:22" x14ac:dyDescent="0.3">
      <c r="A4">
        <v>2</v>
      </c>
      <c r="B4">
        <v>12</v>
      </c>
      <c r="C4" t="s">
        <v>85</v>
      </c>
      <c r="D4" t="s">
        <v>86</v>
      </c>
      <c r="E4" s="2">
        <v>0.214</v>
      </c>
      <c r="F4">
        <v>31</v>
      </c>
      <c r="H4">
        <v>2</v>
      </c>
      <c r="I4">
        <v>12</v>
      </c>
      <c r="J4" t="s">
        <v>85</v>
      </c>
      <c r="K4" t="s">
        <v>86</v>
      </c>
      <c r="L4">
        <v>20.12</v>
      </c>
      <c r="M4">
        <v>19.434999999999999</v>
      </c>
      <c r="N4" s="2">
        <v>18.811</v>
      </c>
      <c r="O4" s="2">
        <f>Table_1__3[[#This Row],[Q3]]-N3</f>
        <v>0.29299999999999926</v>
      </c>
      <c r="P4">
        <v>18</v>
      </c>
      <c r="R4">
        <v>2</v>
      </c>
      <c r="S4">
        <v>12</v>
      </c>
      <c r="T4" t="s">
        <v>85</v>
      </c>
      <c r="U4" t="s">
        <v>86</v>
      </c>
      <c r="V4" t="s">
        <v>120</v>
      </c>
    </row>
    <row r="5" spans="1:22" x14ac:dyDescent="0.3">
      <c r="A5">
        <v>5</v>
      </c>
      <c r="B5">
        <v>16</v>
      </c>
      <c r="C5" t="s">
        <v>89</v>
      </c>
      <c r="D5" t="s">
        <v>28</v>
      </c>
      <c r="E5" s="2">
        <v>0.56200000000000006</v>
      </c>
      <c r="F5">
        <v>30</v>
      </c>
      <c r="H5">
        <v>4</v>
      </c>
      <c r="I5">
        <v>16</v>
      </c>
      <c r="J5" t="s">
        <v>89</v>
      </c>
      <c r="K5" t="s">
        <v>28</v>
      </c>
      <c r="L5">
        <v>20.225999999999999</v>
      </c>
      <c r="M5">
        <v>19.356999999999999</v>
      </c>
      <c r="N5" s="2">
        <v>19.327000000000002</v>
      </c>
      <c r="O5" s="2">
        <f>Table_1__3[[#This Row],[Q3]]-$N$3</f>
        <v>0.80900000000000105</v>
      </c>
      <c r="P5">
        <v>24</v>
      </c>
      <c r="R5">
        <v>4</v>
      </c>
      <c r="S5">
        <v>16</v>
      </c>
      <c r="T5" t="s">
        <v>89</v>
      </c>
      <c r="U5" t="s">
        <v>28</v>
      </c>
      <c r="V5" t="s">
        <v>122</v>
      </c>
    </row>
    <row r="6" spans="1:22" x14ac:dyDescent="0.3">
      <c r="A6">
        <v>4</v>
      </c>
      <c r="B6">
        <v>44</v>
      </c>
      <c r="C6" t="s">
        <v>88</v>
      </c>
      <c r="D6" t="s">
        <v>28</v>
      </c>
      <c r="E6" s="2">
        <v>0.32100000000000001</v>
      </c>
      <c r="F6">
        <v>32</v>
      </c>
      <c r="H6">
        <v>7</v>
      </c>
      <c r="I6">
        <v>44</v>
      </c>
      <c r="J6" t="s">
        <v>88</v>
      </c>
      <c r="K6" t="s">
        <v>28</v>
      </c>
      <c r="L6">
        <v>19.811</v>
      </c>
      <c r="M6">
        <v>19.920999999999999</v>
      </c>
      <c r="N6" s="2">
        <v>19.478000000000002</v>
      </c>
      <c r="O6" s="2">
        <f>Table_1__3[[#This Row],[Q3]]-$N$3</f>
        <v>0.96000000000000085</v>
      </c>
      <c r="P6">
        <v>25</v>
      </c>
      <c r="R6">
        <v>7</v>
      </c>
      <c r="S6">
        <v>44</v>
      </c>
      <c r="T6" t="s">
        <v>88</v>
      </c>
      <c r="U6" t="s">
        <v>28</v>
      </c>
      <c r="V6" t="s">
        <v>125</v>
      </c>
    </row>
    <row r="7" spans="1:22" x14ac:dyDescent="0.3">
      <c r="A7">
        <v>7</v>
      </c>
      <c r="B7">
        <v>1</v>
      </c>
      <c r="C7" t="s">
        <v>92</v>
      </c>
      <c r="D7" t="s">
        <v>29</v>
      </c>
      <c r="E7" s="2">
        <v>1.0649999999999999</v>
      </c>
      <c r="F7">
        <v>29</v>
      </c>
      <c r="H7">
        <v>6</v>
      </c>
      <c r="I7">
        <v>1</v>
      </c>
      <c r="J7" t="s">
        <v>92</v>
      </c>
      <c r="K7" t="s">
        <v>29</v>
      </c>
      <c r="L7">
        <v>20.010000000000002</v>
      </c>
      <c r="M7">
        <v>19.882000000000001</v>
      </c>
      <c r="N7" s="2">
        <v>19.475000000000001</v>
      </c>
      <c r="O7" s="2">
        <f>Table_1__3[[#This Row],[Q3]]-$N$3</f>
        <v>0.95700000000000074</v>
      </c>
      <c r="P7">
        <v>26</v>
      </c>
      <c r="R7">
        <v>6</v>
      </c>
      <c r="S7">
        <v>1</v>
      </c>
      <c r="T7" t="s">
        <v>92</v>
      </c>
      <c r="U7" t="s">
        <v>29</v>
      </c>
      <c r="V7" t="s">
        <v>124</v>
      </c>
    </row>
    <row r="8" spans="1:22" x14ac:dyDescent="0.3">
      <c r="A8">
        <v>1</v>
      </c>
      <c r="B8">
        <v>81</v>
      </c>
      <c r="C8" t="s">
        <v>84</v>
      </c>
      <c r="D8" t="s">
        <v>29</v>
      </c>
      <c r="E8" s="2">
        <v>0</v>
      </c>
      <c r="F8">
        <v>26</v>
      </c>
      <c r="H8">
        <v>5</v>
      </c>
      <c r="I8">
        <v>81</v>
      </c>
      <c r="J8" t="s">
        <v>84</v>
      </c>
      <c r="K8" t="s">
        <v>29</v>
      </c>
      <c r="L8">
        <v>19.664000000000001</v>
      </c>
      <c r="M8">
        <v>19.524999999999999</v>
      </c>
      <c r="N8" s="2">
        <v>19.38</v>
      </c>
      <c r="O8" s="2">
        <f>Table_1__3[[#This Row],[Q3]]-$N$3</f>
        <v>0.86199999999999832</v>
      </c>
      <c r="P8">
        <v>26</v>
      </c>
      <c r="R8">
        <v>5</v>
      </c>
      <c r="S8">
        <v>81</v>
      </c>
      <c r="T8" t="s">
        <v>84</v>
      </c>
      <c r="U8" t="s">
        <v>29</v>
      </c>
      <c r="V8" t="s">
        <v>123</v>
      </c>
    </row>
    <row r="9" spans="1:22" x14ac:dyDescent="0.3">
      <c r="A9">
        <v>6</v>
      </c>
      <c r="B9">
        <v>3</v>
      </c>
      <c r="C9" t="s">
        <v>90</v>
      </c>
      <c r="D9" t="s">
        <v>91</v>
      </c>
      <c r="E9" s="2">
        <v>0.63700000000000001</v>
      </c>
      <c r="F9">
        <v>13</v>
      </c>
      <c r="I9">
        <v>3</v>
      </c>
      <c r="J9" t="s">
        <v>90</v>
      </c>
      <c r="K9" t="s">
        <v>91</v>
      </c>
      <c r="L9" s="2">
        <v>59.999000000000002</v>
      </c>
      <c r="O9" s="2">
        <f>Table_1__3[[#This Row],[Q1]]-N3</f>
        <v>41.481000000000002</v>
      </c>
      <c r="R9">
        <v>20</v>
      </c>
      <c r="S9">
        <v>3</v>
      </c>
      <c r="T9" t="s">
        <v>90</v>
      </c>
      <c r="U9" t="s">
        <v>91</v>
      </c>
      <c r="V9" t="s">
        <v>112</v>
      </c>
    </row>
    <row r="10" spans="1:22" x14ac:dyDescent="0.3">
      <c r="A10">
        <v>9</v>
      </c>
      <c r="B10">
        <v>6</v>
      </c>
      <c r="C10" t="s">
        <v>95</v>
      </c>
      <c r="D10" t="s">
        <v>91</v>
      </c>
      <c r="E10" s="2">
        <v>1.212</v>
      </c>
      <c r="F10">
        <v>28</v>
      </c>
      <c r="H10">
        <v>3</v>
      </c>
      <c r="I10">
        <v>6</v>
      </c>
      <c r="J10" t="s">
        <v>95</v>
      </c>
      <c r="K10" t="s">
        <v>91</v>
      </c>
      <c r="L10">
        <v>20.023</v>
      </c>
      <c r="M10">
        <v>19.652999999999999</v>
      </c>
      <c r="N10" s="2">
        <v>19.303000000000001</v>
      </c>
      <c r="O10" s="2">
        <f>Table_1__3[[#This Row],[Q3]]-$N$3</f>
        <v>0.78500000000000014</v>
      </c>
      <c r="P10">
        <v>19</v>
      </c>
      <c r="R10">
        <v>3</v>
      </c>
      <c r="S10">
        <v>6</v>
      </c>
      <c r="T10" t="s">
        <v>95</v>
      </c>
      <c r="U10" t="s">
        <v>91</v>
      </c>
      <c r="V10" t="s">
        <v>121</v>
      </c>
    </row>
    <row r="11" spans="1:22" x14ac:dyDescent="0.3">
      <c r="A11">
        <v>16</v>
      </c>
      <c r="B11">
        <v>10</v>
      </c>
      <c r="C11" t="s">
        <v>103</v>
      </c>
      <c r="D11" t="s">
        <v>31</v>
      </c>
      <c r="E11" s="2">
        <v>2.4380000000000002</v>
      </c>
      <c r="F11">
        <v>16</v>
      </c>
      <c r="H11">
        <v>14</v>
      </c>
      <c r="I11">
        <v>10</v>
      </c>
      <c r="J11" t="s">
        <v>103</v>
      </c>
      <c r="K11" t="s">
        <v>31</v>
      </c>
      <c r="L11">
        <v>21.138000000000002</v>
      </c>
      <c r="M11">
        <v>20.501000000000001</v>
      </c>
      <c r="N11" s="2" t="s">
        <v>112</v>
      </c>
      <c r="O11" s="2">
        <f>Table_1__3[[#This Row],[Q2]]-$N$3</f>
        <v>1.9830000000000005</v>
      </c>
      <c r="P11">
        <v>18</v>
      </c>
      <c r="R11">
        <v>14</v>
      </c>
      <c r="S11">
        <v>10</v>
      </c>
      <c r="T11" t="s">
        <v>103</v>
      </c>
      <c r="U11" t="s">
        <v>31</v>
      </c>
      <c r="V11" t="s">
        <v>131</v>
      </c>
    </row>
    <row r="12" spans="1:22" x14ac:dyDescent="0.3">
      <c r="A12">
        <v>18</v>
      </c>
      <c r="B12">
        <v>43</v>
      </c>
      <c r="C12" t="s">
        <v>105</v>
      </c>
      <c r="D12" t="s">
        <v>31</v>
      </c>
      <c r="E12" s="2">
        <v>2.89</v>
      </c>
      <c r="F12">
        <v>27</v>
      </c>
      <c r="H12">
        <v>16</v>
      </c>
      <c r="I12">
        <v>43</v>
      </c>
      <c r="J12" t="s">
        <v>105</v>
      </c>
      <c r="K12" t="s">
        <v>31</v>
      </c>
      <c r="L12">
        <v>21.2</v>
      </c>
      <c r="M12">
        <v>21.27</v>
      </c>
      <c r="N12" s="2" t="s">
        <v>112</v>
      </c>
      <c r="O12" s="2">
        <f>Table_1__3[[#This Row],[Q2]]-$N$3</f>
        <v>2.7519999999999989</v>
      </c>
      <c r="P12">
        <v>18</v>
      </c>
      <c r="R12">
        <v>16</v>
      </c>
      <c r="S12">
        <v>43</v>
      </c>
      <c r="T12" t="s">
        <v>105</v>
      </c>
      <c r="U12" t="s">
        <v>31</v>
      </c>
      <c r="V12" t="s">
        <v>133</v>
      </c>
    </row>
    <row r="13" spans="1:22" x14ac:dyDescent="0.3">
      <c r="A13">
        <v>13</v>
      </c>
      <c r="B13">
        <v>30</v>
      </c>
      <c r="C13" t="s">
        <v>100</v>
      </c>
      <c r="D13" t="s">
        <v>94</v>
      </c>
      <c r="E13" s="2">
        <v>1.629</v>
      </c>
      <c r="F13">
        <v>29</v>
      </c>
      <c r="H13">
        <v>8</v>
      </c>
      <c r="I13">
        <v>30</v>
      </c>
      <c r="J13" t="s">
        <v>100</v>
      </c>
      <c r="K13" t="s">
        <v>94</v>
      </c>
      <c r="L13">
        <v>20.491</v>
      </c>
      <c r="M13">
        <v>20.143999999999998</v>
      </c>
      <c r="N13" s="2">
        <v>19.994</v>
      </c>
      <c r="O13" s="2">
        <f>Table_1__3[[#This Row],[Q3]]-$N$3</f>
        <v>1.4759999999999991</v>
      </c>
      <c r="P13">
        <v>24</v>
      </c>
      <c r="R13">
        <v>8</v>
      </c>
      <c r="S13">
        <v>30</v>
      </c>
      <c r="T13" t="s">
        <v>100</v>
      </c>
      <c r="U13" t="s">
        <v>94</v>
      </c>
      <c r="V13" t="s">
        <v>127</v>
      </c>
    </row>
    <row r="14" spans="1:22" x14ac:dyDescent="0.3">
      <c r="A14">
        <v>8</v>
      </c>
      <c r="B14">
        <v>41</v>
      </c>
      <c r="C14" t="s">
        <v>93</v>
      </c>
      <c r="D14" t="s">
        <v>94</v>
      </c>
      <c r="E14" s="2">
        <v>1.1930000000000001</v>
      </c>
      <c r="F14">
        <v>30</v>
      </c>
      <c r="H14">
        <v>9</v>
      </c>
      <c r="I14">
        <v>41</v>
      </c>
      <c r="J14" t="s">
        <v>93</v>
      </c>
      <c r="K14" t="s">
        <v>94</v>
      </c>
      <c r="L14">
        <v>20.408999999999999</v>
      </c>
      <c r="M14">
        <v>19.971</v>
      </c>
      <c r="N14" s="2">
        <v>21.247</v>
      </c>
      <c r="O14" s="2">
        <f>Table_1__3[[#This Row],[Q3]]-$N$3</f>
        <v>2.7289999999999992</v>
      </c>
      <c r="P14">
        <v>25</v>
      </c>
      <c r="R14">
        <v>9</v>
      </c>
      <c r="S14">
        <v>41</v>
      </c>
      <c r="T14" t="s">
        <v>93</v>
      </c>
      <c r="U14" t="s">
        <v>94</v>
      </c>
      <c r="V14" t="s">
        <v>128</v>
      </c>
    </row>
    <row r="15" spans="1:22" x14ac:dyDescent="0.3">
      <c r="A15">
        <v>10</v>
      </c>
      <c r="B15">
        <v>31</v>
      </c>
      <c r="C15" t="s">
        <v>96</v>
      </c>
      <c r="D15" t="s">
        <v>97</v>
      </c>
      <c r="E15" s="2">
        <v>1.45</v>
      </c>
      <c r="F15">
        <v>29</v>
      </c>
      <c r="H15">
        <v>13</v>
      </c>
      <c r="I15">
        <v>31</v>
      </c>
      <c r="J15" t="s">
        <v>96</v>
      </c>
      <c r="K15" t="s">
        <v>97</v>
      </c>
      <c r="L15">
        <v>20.759</v>
      </c>
      <c r="M15">
        <v>20.491</v>
      </c>
      <c r="N15" s="2" t="s">
        <v>112</v>
      </c>
      <c r="O15" s="2">
        <f>Table_1__3[[#This Row],[Q2]]-$N$3</f>
        <v>1.972999999999999</v>
      </c>
      <c r="P15">
        <v>18</v>
      </c>
      <c r="R15">
        <v>13</v>
      </c>
      <c r="S15">
        <v>31</v>
      </c>
      <c r="T15" t="s">
        <v>96</v>
      </c>
      <c r="U15" t="s">
        <v>97</v>
      </c>
      <c r="V15" t="s">
        <v>126</v>
      </c>
    </row>
    <row r="16" spans="1:22" x14ac:dyDescent="0.3">
      <c r="A16">
        <v>11</v>
      </c>
      <c r="B16">
        <v>87</v>
      </c>
      <c r="C16" t="s">
        <v>98</v>
      </c>
      <c r="D16" t="s">
        <v>97</v>
      </c>
      <c r="E16" s="2">
        <v>1.597</v>
      </c>
      <c r="F16">
        <v>31</v>
      </c>
      <c r="H16">
        <v>12</v>
      </c>
      <c r="I16">
        <v>87</v>
      </c>
      <c r="J16" t="s">
        <v>98</v>
      </c>
      <c r="K16" t="s">
        <v>97</v>
      </c>
      <c r="L16">
        <v>21.247</v>
      </c>
      <c r="M16">
        <v>20.311</v>
      </c>
      <c r="N16" s="2" t="s">
        <v>112</v>
      </c>
      <c r="O16" s="2">
        <f>Table_1__3[[#This Row],[Q2]]-$N$3</f>
        <v>1.7929999999999993</v>
      </c>
      <c r="P16">
        <v>18</v>
      </c>
      <c r="R16">
        <v>12</v>
      </c>
      <c r="S16">
        <v>87</v>
      </c>
      <c r="T16" t="s">
        <v>98</v>
      </c>
      <c r="U16" t="s">
        <v>97</v>
      </c>
      <c r="V16" t="s">
        <v>130</v>
      </c>
    </row>
    <row r="17" spans="1:22" x14ac:dyDescent="0.3">
      <c r="A17">
        <v>17</v>
      </c>
      <c r="B17">
        <v>55</v>
      </c>
      <c r="C17" t="s">
        <v>104</v>
      </c>
      <c r="D17" t="s">
        <v>34</v>
      </c>
      <c r="E17" s="2">
        <v>2.524</v>
      </c>
      <c r="F17">
        <v>10</v>
      </c>
      <c r="I17">
        <v>55</v>
      </c>
      <c r="J17" t="s">
        <v>104</v>
      </c>
      <c r="K17" t="s">
        <v>34</v>
      </c>
      <c r="L17" s="2">
        <v>59.999000000000002</v>
      </c>
      <c r="O17" s="2">
        <f>Table_1__3[[#This Row],[Q1]]-N3</f>
        <v>41.481000000000002</v>
      </c>
      <c r="R17">
        <v>21</v>
      </c>
      <c r="S17">
        <v>55</v>
      </c>
      <c r="T17" t="s">
        <v>104</v>
      </c>
      <c r="U17" t="s">
        <v>34</v>
      </c>
      <c r="V17" t="s">
        <v>112</v>
      </c>
    </row>
    <row r="18" spans="1:22" x14ac:dyDescent="0.3">
      <c r="A18">
        <v>15</v>
      </c>
      <c r="B18">
        <v>23</v>
      </c>
      <c r="C18" t="s">
        <v>102</v>
      </c>
      <c r="D18" t="s">
        <v>34</v>
      </c>
      <c r="E18" s="2">
        <v>2.1179999999999999</v>
      </c>
      <c r="F18">
        <v>32</v>
      </c>
      <c r="H18">
        <v>15</v>
      </c>
      <c r="I18">
        <v>23</v>
      </c>
      <c r="J18" t="s">
        <v>102</v>
      </c>
      <c r="K18" t="s">
        <v>34</v>
      </c>
      <c r="L18">
        <v>21.050999999999998</v>
      </c>
      <c r="M18">
        <v>20.940999999999999</v>
      </c>
      <c r="N18" s="2" t="s">
        <v>112</v>
      </c>
      <c r="O18" s="2">
        <f>Table_1__3[[#This Row],[Q2]]-$N$3</f>
        <v>2.4229999999999983</v>
      </c>
      <c r="P18">
        <v>19</v>
      </c>
      <c r="R18">
        <v>15</v>
      </c>
      <c r="S18">
        <v>23</v>
      </c>
      <c r="T18" t="s">
        <v>102</v>
      </c>
      <c r="U18" t="s">
        <v>34</v>
      </c>
      <c r="V18" t="s">
        <v>132</v>
      </c>
    </row>
    <row r="19" spans="1:22" x14ac:dyDescent="0.3">
      <c r="A19">
        <v>12</v>
      </c>
      <c r="B19">
        <v>27</v>
      </c>
      <c r="C19" t="s">
        <v>99</v>
      </c>
      <c r="D19" t="s">
        <v>35</v>
      </c>
      <c r="E19" s="2">
        <v>1.6220000000000001</v>
      </c>
      <c r="F19">
        <v>34</v>
      </c>
      <c r="H19">
        <v>11</v>
      </c>
      <c r="I19">
        <v>27</v>
      </c>
      <c r="J19" t="s">
        <v>99</v>
      </c>
      <c r="K19" t="s">
        <v>35</v>
      </c>
      <c r="L19">
        <v>21.024000000000001</v>
      </c>
      <c r="M19">
        <v>20.303000000000001</v>
      </c>
      <c r="N19" s="2" t="s">
        <v>112</v>
      </c>
      <c r="O19" s="2">
        <f>Table_1__3[[#This Row],[Q2]]-$N$3</f>
        <v>1.7850000000000001</v>
      </c>
      <c r="P19">
        <v>18</v>
      </c>
      <c r="R19">
        <v>11</v>
      </c>
      <c r="S19">
        <v>27</v>
      </c>
      <c r="T19" t="s">
        <v>99</v>
      </c>
      <c r="U19" t="s">
        <v>35</v>
      </c>
      <c r="V19" t="s">
        <v>129</v>
      </c>
    </row>
    <row r="20" spans="1:22" x14ac:dyDescent="0.3">
      <c r="A20">
        <v>14</v>
      </c>
      <c r="B20">
        <v>5</v>
      </c>
      <c r="C20" t="s">
        <v>101</v>
      </c>
      <c r="D20" t="s">
        <v>35</v>
      </c>
      <c r="E20" s="2">
        <v>1.9390000000000001</v>
      </c>
      <c r="F20">
        <v>28</v>
      </c>
      <c r="H20">
        <v>10</v>
      </c>
      <c r="I20">
        <v>5</v>
      </c>
      <c r="J20" t="s">
        <v>101</v>
      </c>
      <c r="K20" t="s">
        <v>35</v>
      </c>
      <c r="L20">
        <v>20.495000000000001</v>
      </c>
      <c r="M20">
        <v>20.221</v>
      </c>
      <c r="N20" s="2" t="s">
        <v>112</v>
      </c>
      <c r="O20" s="2">
        <f>Table_1__3[[#This Row],[Q2]]-$N$3</f>
        <v>1.7029999999999994</v>
      </c>
      <c r="P20">
        <v>14</v>
      </c>
      <c r="R20">
        <v>10</v>
      </c>
      <c r="S20">
        <v>5</v>
      </c>
      <c r="T20" t="s">
        <v>101</v>
      </c>
      <c r="U20" t="s">
        <v>35</v>
      </c>
      <c r="V20" t="s">
        <v>112</v>
      </c>
    </row>
    <row r="21" spans="1:22" x14ac:dyDescent="0.3">
      <c r="A21">
        <v>20</v>
      </c>
      <c r="B21">
        <v>14</v>
      </c>
      <c r="C21" t="s">
        <v>108</v>
      </c>
      <c r="D21" t="s">
        <v>109</v>
      </c>
      <c r="E21" s="2">
        <v>4.9329999999999998</v>
      </c>
      <c r="F21">
        <v>18</v>
      </c>
      <c r="H21">
        <v>17</v>
      </c>
      <c r="I21">
        <v>14</v>
      </c>
      <c r="J21" t="s">
        <v>108</v>
      </c>
      <c r="K21" t="s">
        <v>109</v>
      </c>
      <c r="L21">
        <v>21.969000000000001</v>
      </c>
      <c r="M21" t="s">
        <v>112</v>
      </c>
      <c r="N21" s="2" t="s">
        <v>112</v>
      </c>
      <c r="O21" s="2">
        <f>Table_1__3[[#This Row],[Q1]]-$N$3</f>
        <v>3.4510000000000005</v>
      </c>
      <c r="P21">
        <v>10</v>
      </c>
      <c r="R21">
        <v>17</v>
      </c>
      <c r="S21">
        <v>14</v>
      </c>
      <c r="T21" t="s">
        <v>108</v>
      </c>
      <c r="U21" t="s">
        <v>109</v>
      </c>
      <c r="V21" t="s">
        <v>134</v>
      </c>
    </row>
    <row r="22" spans="1:22" x14ac:dyDescent="0.3">
      <c r="A22">
        <v>21</v>
      </c>
      <c r="B22">
        <v>18</v>
      </c>
      <c r="C22" t="s">
        <v>110</v>
      </c>
      <c r="D22" t="s">
        <v>109</v>
      </c>
      <c r="E22" s="2">
        <v>6.0869999999999997</v>
      </c>
      <c r="F22">
        <v>13</v>
      </c>
      <c r="I22">
        <v>18</v>
      </c>
      <c r="J22" t="s">
        <v>110</v>
      </c>
      <c r="K22" t="s">
        <v>109</v>
      </c>
      <c r="L22" s="2">
        <v>59.999000000000002</v>
      </c>
      <c r="O22" s="2">
        <f>Table_1__3[[#This Row],[Q1]]-N3</f>
        <v>41.481000000000002</v>
      </c>
      <c r="R22">
        <v>22</v>
      </c>
      <c r="S22">
        <v>18</v>
      </c>
      <c r="T22" t="s">
        <v>110</v>
      </c>
      <c r="U22" t="s">
        <v>109</v>
      </c>
      <c r="V22" t="s">
        <v>112</v>
      </c>
    </row>
    <row r="23" spans="1:22" x14ac:dyDescent="0.3">
      <c r="A23">
        <v>22</v>
      </c>
      <c r="B23">
        <v>11</v>
      </c>
      <c r="C23" t="s">
        <v>111</v>
      </c>
      <c r="D23" t="s">
        <v>107</v>
      </c>
      <c r="E23" s="2">
        <v>59.999000000000002</v>
      </c>
      <c r="F23">
        <v>2</v>
      </c>
      <c r="H23">
        <v>18</v>
      </c>
      <c r="I23">
        <v>11</v>
      </c>
      <c r="J23" t="s">
        <v>111</v>
      </c>
      <c r="K23" t="s">
        <v>107</v>
      </c>
      <c r="L23">
        <v>22.605</v>
      </c>
      <c r="M23" t="s">
        <v>112</v>
      </c>
      <c r="N23" s="2" t="s">
        <v>112</v>
      </c>
      <c r="O23" s="2">
        <f>Table_1__3[[#This Row],[Q1]]-$N$3</f>
        <v>4.0869999999999997</v>
      </c>
      <c r="P23">
        <v>7</v>
      </c>
      <c r="R23">
        <v>18</v>
      </c>
      <c r="S23">
        <v>11</v>
      </c>
      <c r="T23" t="s">
        <v>111</v>
      </c>
      <c r="U23" t="s">
        <v>107</v>
      </c>
      <c r="V23" t="s">
        <v>135</v>
      </c>
    </row>
    <row r="24" spans="1:22" x14ac:dyDescent="0.3">
      <c r="A24">
        <v>19</v>
      </c>
      <c r="B24">
        <v>77</v>
      </c>
      <c r="C24" t="s">
        <v>106</v>
      </c>
      <c r="D24" t="s">
        <v>107</v>
      </c>
      <c r="E24" s="2">
        <v>3.931</v>
      </c>
      <c r="F24">
        <v>28</v>
      </c>
      <c r="H24">
        <v>19</v>
      </c>
      <c r="I24">
        <v>77</v>
      </c>
      <c r="J24" t="s">
        <v>106</v>
      </c>
      <c r="K24" t="s">
        <v>107</v>
      </c>
      <c r="L24">
        <v>23.244</v>
      </c>
      <c r="M24" t="s">
        <v>112</v>
      </c>
      <c r="N24" s="2" t="s">
        <v>112</v>
      </c>
      <c r="O24" s="2">
        <f>Table_1__3[[#This Row],[Q1]]-$N$3</f>
        <v>4.7259999999999991</v>
      </c>
      <c r="P24">
        <v>8</v>
      </c>
      <c r="R24">
        <v>19</v>
      </c>
      <c r="S24">
        <v>77</v>
      </c>
      <c r="T24" t="s">
        <v>106</v>
      </c>
      <c r="U24" t="s">
        <v>107</v>
      </c>
      <c r="V24" t="s">
        <v>136</v>
      </c>
    </row>
    <row r="27" spans="1:22" x14ac:dyDescent="0.3">
      <c r="A27" t="s">
        <v>114</v>
      </c>
    </row>
    <row r="28" spans="1:22" x14ac:dyDescent="0.3">
      <c r="A28" t="s">
        <v>78</v>
      </c>
      <c r="B28" t="s">
        <v>79</v>
      </c>
      <c r="C28" t="s">
        <v>80</v>
      </c>
      <c r="D28" t="s">
        <v>81</v>
      </c>
      <c r="E28" s="2" t="s">
        <v>82</v>
      </c>
      <c r="F28" t="s">
        <v>83</v>
      </c>
    </row>
    <row r="29" spans="1:22" x14ac:dyDescent="0.3">
      <c r="A29">
        <v>1</v>
      </c>
      <c r="B29">
        <v>63</v>
      </c>
      <c r="C29" t="s">
        <v>87</v>
      </c>
      <c r="D29" t="s">
        <v>86</v>
      </c>
      <c r="E29">
        <v>0</v>
      </c>
      <c r="F29">
        <v>23</v>
      </c>
    </row>
    <row r="30" spans="1:22" x14ac:dyDescent="0.3">
      <c r="A30">
        <v>7</v>
      </c>
      <c r="B30">
        <v>12</v>
      </c>
      <c r="C30" t="s">
        <v>85</v>
      </c>
      <c r="D30" t="s">
        <v>86</v>
      </c>
      <c r="E30">
        <v>1.2709999999999999</v>
      </c>
      <c r="F30">
        <v>18</v>
      </c>
    </row>
    <row r="31" spans="1:22" x14ac:dyDescent="0.3">
      <c r="A31">
        <v>3</v>
      </c>
      <c r="B31">
        <v>16</v>
      </c>
      <c r="C31" t="s">
        <v>89</v>
      </c>
      <c r="D31" t="s">
        <v>28</v>
      </c>
      <c r="E31">
        <v>0.77400000000000002</v>
      </c>
      <c r="F31">
        <v>20</v>
      </c>
    </row>
    <row r="32" spans="1:22" x14ac:dyDescent="0.3">
      <c r="A32">
        <v>2</v>
      </c>
      <c r="B32">
        <v>44</v>
      </c>
      <c r="C32" t="s">
        <v>88</v>
      </c>
      <c r="D32" t="s">
        <v>28</v>
      </c>
      <c r="E32">
        <v>0.61599999999999999</v>
      </c>
      <c r="F32">
        <v>22</v>
      </c>
    </row>
    <row r="33" spans="1:6" x14ac:dyDescent="0.3">
      <c r="A33">
        <v>8</v>
      </c>
      <c r="B33">
        <v>1</v>
      </c>
      <c r="C33" t="s">
        <v>92</v>
      </c>
      <c r="D33" t="s">
        <v>29</v>
      </c>
      <c r="E33">
        <v>1.39</v>
      </c>
      <c r="F33">
        <v>22</v>
      </c>
    </row>
    <row r="34" spans="1:6" x14ac:dyDescent="0.3">
      <c r="A34">
        <v>4</v>
      </c>
      <c r="B34">
        <v>81</v>
      </c>
      <c r="C34" t="s">
        <v>84</v>
      </c>
      <c r="D34" t="s">
        <v>29</v>
      </c>
      <c r="E34">
        <v>1.034</v>
      </c>
      <c r="F34">
        <v>17</v>
      </c>
    </row>
    <row r="35" spans="1:6" x14ac:dyDescent="0.3">
      <c r="A35">
        <v>6</v>
      </c>
      <c r="B35">
        <v>3</v>
      </c>
      <c r="C35" t="s">
        <v>90</v>
      </c>
      <c r="D35" t="s">
        <v>91</v>
      </c>
      <c r="E35">
        <v>1.1439999999999999</v>
      </c>
      <c r="F35">
        <v>15</v>
      </c>
    </row>
    <row r="36" spans="1:6" x14ac:dyDescent="0.3">
      <c r="A36">
        <v>5</v>
      </c>
      <c r="B36">
        <v>6</v>
      </c>
      <c r="C36" t="s">
        <v>95</v>
      </c>
      <c r="D36" t="s">
        <v>91</v>
      </c>
      <c r="E36">
        <v>1.0840000000000001</v>
      </c>
      <c r="F36">
        <v>15</v>
      </c>
    </row>
    <row r="37" spans="1:6" x14ac:dyDescent="0.3">
      <c r="A37">
        <v>15</v>
      </c>
      <c r="B37">
        <v>10</v>
      </c>
      <c r="C37" t="s">
        <v>103</v>
      </c>
      <c r="D37" t="s">
        <v>31</v>
      </c>
      <c r="E37">
        <v>2.0179999999999998</v>
      </c>
      <c r="F37">
        <v>26</v>
      </c>
    </row>
    <row r="38" spans="1:6" x14ac:dyDescent="0.3">
      <c r="A38">
        <v>16</v>
      </c>
      <c r="B38">
        <v>43</v>
      </c>
      <c r="C38" t="s">
        <v>105</v>
      </c>
      <c r="D38" t="s">
        <v>31</v>
      </c>
      <c r="E38">
        <v>2.36</v>
      </c>
      <c r="F38">
        <v>22</v>
      </c>
    </row>
    <row r="39" spans="1:6" x14ac:dyDescent="0.3">
      <c r="A39">
        <v>12</v>
      </c>
      <c r="B39">
        <v>30</v>
      </c>
      <c r="C39" t="s">
        <v>100</v>
      </c>
      <c r="D39" t="s">
        <v>94</v>
      </c>
      <c r="E39">
        <v>1.837</v>
      </c>
      <c r="F39">
        <v>13</v>
      </c>
    </row>
    <row r="40" spans="1:6" x14ac:dyDescent="0.3">
      <c r="A40">
        <v>11</v>
      </c>
      <c r="B40">
        <v>41</v>
      </c>
      <c r="C40" t="s">
        <v>93</v>
      </c>
      <c r="D40" t="s">
        <v>94</v>
      </c>
      <c r="E40">
        <v>1.7849999999999999</v>
      </c>
      <c r="F40">
        <v>15</v>
      </c>
    </row>
    <row r="41" spans="1:6" x14ac:dyDescent="0.3">
      <c r="A41">
        <v>13</v>
      </c>
      <c r="B41">
        <v>31</v>
      </c>
      <c r="C41" t="s">
        <v>96</v>
      </c>
      <c r="D41" t="s">
        <v>97</v>
      </c>
      <c r="E41">
        <v>1.93</v>
      </c>
      <c r="F41">
        <v>19</v>
      </c>
    </row>
    <row r="42" spans="1:6" x14ac:dyDescent="0.3">
      <c r="A42">
        <v>10</v>
      </c>
      <c r="B42">
        <v>87</v>
      </c>
      <c r="C42" t="s">
        <v>98</v>
      </c>
      <c r="D42" t="s">
        <v>97</v>
      </c>
      <c r="E42">
        <v>1.7250000000000001</v>
      </c>
      <c r="F42">
        <v>18</v>
      </c>
    </row>
    <row r="43" spans="1:6" x14ac:dyDescent="0.3">
      <c r="A43">
        <v>21</v>
      </c>
      <c r="B43">
        <v>55</v>
      </c>
      <c r="C43" t="s">
        <v>104</v>
      </c>
      <c r="D43" t="s">
        <v>34</v>
      </c>
      <c r="E43" t="s">
        <v>112</v>
      </c>
      <c r="F43">
        <v>1</v>
      </c>
    </row>
    <row r="44" spans="1:6" x14ac:dyDescent="0.3">
      <c r="A44">
        <v>17</v>
      </c>
      <c r="B44">
        <v>23</v>
      </c>
      <c r="C44" t="s">
        <v>102</v>
      </c>
      <c r="D44" t="s">
        <v>34</v>
      </c>
      <c r="E44">
        <v>2.6110000000000002</v>
      </c>
      <c r="F44">
        <v>17</v>
      </c>
    </row>
    <row r="45" spans="1:6" x14ac:dyDescent="0.3">
      <c r="A45">
        <v>14</v>
      </c>
      <c r="B45">
        <v>27</v>
      </c>
      <c r="C45" t="s">
        <v>99</v>
      </c>
      <c r="D45" t="s">
        <v>35</v>
      </c>
      <c r="E45">
        <v>2.0139999999999998</v>
      </c>
      <c r="F45">
        <v>22</v>
      </c>
    </row>
    <row r="46" spans="1:6" x14ac:dyDescent="0.3">
      <c r="A46">
        <v>9</v>
      </c>
      <c r="B46">
        <v>5</v>
      </c>
      <c r="C46" t="s">
        <v>101</v>
      </c>
      <c r="D46" t="s">
        <v>35</v>
      </c>
      <c r="E46">
        <v>1.4059999999999999</v>
      </c>
      <c r="F46">
        <v>19</v>
      </c>
    </row>
    <row r="47" spans="1:6" x14ac:dyDescent="0.3">
      <c r="A47">
        <v>18</v>
      </c>
      <c r="B47">
        <v>14</v>
      </c>
      <c r="C47" t="s">
        <v>108</v>
      </c>
      <c r="D47" t="s">
        <v>109</v>
      </c>
      <c r="E47">
        <v>3.6669999999999998</v>
      </c>
      <c r="F47">
        <v>20</v>
      </c>
    </row>
    <row r="48" spans="1:6" x14ac:dyDescent="0.3">
      <c r="A48">
        <v>20</v>
      </c>
      <c r="B48">
        <v>11</v>
      </c>
      <c r="C48" t="s">
        <v>111</v>
      </c>
      <c r="D48" t="s">
        <v>107</v>
      </c>
      <c r="E48">
        <v>5.3440000000000003</v>
      </c>
      <c r="F48">
        <v>21</v>
      </c>
    </row>
    <row r="49" spans="1:21" x14ac:dyDescent="0.3">
      <c r="A49">
        <v>19</v>
      </c>
      <c r="B49">
        <v>77</v>
      </c>
      <c r="C49" t="s">
        <v>106</v>
      </c>
      <c r="D49" t="s">
        <v>107</v>
      </c>
      <c r="E49">
        <v>4.4610000000000003</v>
      </c>
      <c r="F49">
        <v>12</v>
      </c>
    </row>
    <row r="53" spans="1:21" x14ac:dyDescent="0.3">
      <c r="A53" t="s">
        <v>155</v>
      </c>
    </row>
    <row r="54" spans="1:21" x14ac:dyDescent="0.3">
      <c r="A54" t="s">
        <v>156</v>
      </c>
      <c r="H54" t="s">
        <v>113</v>
      </c>
      <c r="P54" t="s">
        <v>114</v>
      </c>
    </row>
    <row r="55" spans="1:21" x14ac:dyDescent="0.3">
      <c r="A55" t="s">
        <v>78</v>
      </c>
      <c r="B55" t="s">
        <v>79</v>
      </c>
      <c r="C55" t="s">
        <v>80</v>
      </c>
      <c r="D55" t="s">
        <v>81</v>
      </c>
      <c r="E55" s="2" t="s">
        <v>82</v>
      </c>
      <c r="F55" t="s">
        <v>83</v>
      </c>
      <c r="H55" t="s">
        <v>78</v>
      </c>
      <c r="I55" t="s">
        <v>79</v>
      </c>
      <c r="J55" t="s">
        <v>80</v>
      </c>
      <c r="K55" t="s">
        <v>81</v>
      </c>
      <c r="L55" t="s">
        <v>82</v>
      </c>
      <c r="M55" t="s">
        <v>83</v>
      </c>
      <c r="P55" t="s">
        <v>78</v>
      </c>
      <c r="Q55" t="s">
        <v>79</v>
      </c>
      <c r="R55" t="s">
        <v>80</v>
      </c>
      <c r="S55" t="s">
        <v>81</v>
      </c>
      <c r="T55" t="s">
        <v>82</v>
      </c>
      <c r="U55" t="s">
        <v>83</v>
      </c>
    </row>
    <row r="56" spans="1:21" x14ac:dyDescent="0.3">
      <c r="A56">
        <v>1</v>
      </c>
      <c r="B56">
        <v>63</v>
      </c>
      <c r="C56" t="s">
        <v>87</v>
      </c>
      <c r="D56" t="s">
        <v>86</v>
      </c>
      <c r="E56">
        <v>0</v>
      </c>
      <c r="F56">
        <v>27</v>
      </c>
      <c r="H56">
        <v>3</v>
      </c>
      <c r="I56">
        <v>63</v>
      </c>
      <c r="J56" t="s">
        <v>87</v>
      </c>
      <c r="K56" t="s">
        <v>86</v>
      </c>
      <c r="L56">
        <v>0.20499999999999999</v>
      </c>
      <c r="M56">
        <v>29</v>
      </c>
      <c r="P56">
        <v>2</v>
      </c>
      <c r="Q56">
        <v>63</v>
      </c>
      <c r="R56" t="s">
        <v>87</v>
      </c>
      <c r="S56" t="s">
        <v>86</v>
      </c>
      <c r="T56">
        <v>0.254</v>
      </c>
      <c r="U56">
        <v>18</v>
      </c>
    </row>
    <row r="57" spans="1:21" x14ac:dyDescent="0.3">
      <c r="A57">
        <v>2</v>
      </c>
      <c r="B57">
        <v>12</v>
      </c>
      <c r="C57" t="s">
        <v>85</v>
      </c>
      <c r="D57" t="s">
        <v>86</v>
      </c>
      <c r="E57">
        <v>2.5999999999999999E-2</v>
      </c>
      <c r="F57">
        <v>26</v>
      </c>
      <c r="H57">
        <v>2</v>
      </c>
      <c r="I57">
        <v>12</v>
      </c>
      <c r="J57" t="s">
        <v>85</v>
      </c>
      <c r="K57" t="s">
        <v>86</v>
      </c>
      <c r="L57">
        <v>9.1999999999999998E-2</v>
      </c>
      <c r="M57">
        <v>28</v>
      </c>
      <c r="P57">
        <v>1</v>
      </c>
      <c r="Q57">
        <v>12</v>
      </c>
      <c r="R57" t="s">
        <v>85</v>
      </c>
      <c r="S57" t="s">
        <v>86</v>
      </c>
      <c r="T57">
        <v>0</v>
      </c>
      <c r="U57">
        <v>18</v>
      </c>
    </row>
    <row r="58" spans="1:21" x14ac:dyDescent="0.3">
      <c r="A58">
        <v>5</v>
      </c>
      <c r="B58">
        <v>16</v>
      </c>
      <c r="C58" t="s">
        <v>89</v>
      </c>
      <c r="D58" t="s">
        <v>28</v>
      </c>
      <c r="E58">
        <v>0.28899999999999998</v>
      </c>
      <c r="F58">
        <v>25</v>
      </c>
      <c r="H58">
        <v>5</v>
      </c>
      <c r="I58">
        <v>16</v>
      </c>
      <c r="J58" t="s">
        <v>89</v>
      </c>
      <c r="K58" t="s">
        <v>28</v>
      </c>
      <c r="L58">
        <v>0.71299999999999997</v>
      </c>
      <c r="M58">
        <v>28</v>
      </c>
      <c r="P58">
        <v>3</v>
      </c>
      <c r="Q58">
        <v>16</v>
      </c>
      <c r="R58" t="s">
        <v>89</v>
      </c>
      <c r="S58" t="s">
        <v>28</v>
      </c>
      <c r="T58">
        <v>0.86699999999999999</v>
      </c>
      <c r="U58">
        <v>20</v>
      </c>
    </row>
    <row r="59" spans="1:21" x14ac:dyDescent="0.3">
      <c r="A59">
        <v>6</v>
      </c>
      <c r="B59">
        <v>44</v>
      </c>
      <c r="C59" t="s">
        <v>88</v>
      </c>
      <c r="D59" t="s">
        <v>28</v>
      </c>
      <c r="E59">
        <v>0.374</v>
      </c>
      <c r="F59">
        <v>23</v>
      </c>
      <c r="H59">
        <v>6</v>
      </c>
      <c r="I59">
        <v>44</v>
      </c>
      <c r="J59" t="s">
        <v>88</v>
      </c>
      <c r="K59" t="s">
        <v>28</v>
      </c>
      <c r="L59">
        <v>0.84699999999999998</v>
      </c>
      <c r="M59">
        <v>27</v>
      </c>
      <c r="P59">
        <v>5</v>
      </c>
      <c r="Q59">
        <v>44</v>
      </c>
      <c r="R59" t="s">
        <v>88</v>
      </c>
      <c r="S59" t="s">
        <v>28</v>
      </c>
      <c r="T59">
        <v>1.0209999999999999</v>
      </c>
      <c r="U59">
        <v>23</v>
      </c>
    </row>
    <row r="60" spans="1:21" x14ac:dyDescent="0.3">
      <c r="A60">
        <v>3</v>
      </c>
      <c r="B60">
        <v>1</v>
      </c>
      <c r="C60" t="s">
        <v>92</v>
      </c>
      <c r="D60" t="s">
        <v>29</v>
      </c>
      <c r="E60">
        <v>0.13200000000000001</v>
      </c>
      <c r="F60">
        <v>20</v>
      </c>
      <c r="H60">
        <v>4</v>
      </c>
      <c r="I60">
        <v>1</v>
      </c>
      <c r="J60" t="s">
        <v>92</v>
      </c>
      <c r="K60" t="s">
        <v>29</v>
      </c>
      <c r="L60">
        <v>0.51600000000000001</v>
      </c>
      <c r="M60">
        <v>17</v>
      </c>
      <c r="P60">
        <v>6</v>
      </c>
      <c r="Q60">
        <v>1</v>
      </c>
      <c r="R60" t="s">
        <v>92</v>
      </c>
      <c r="S60" t="s">
        <v>29</v>
      </c>
      <c r="T60">
        <v>1.238</v>
      </c>
      <c r="U60">
        <v>13</v>
      </c>
    </row>
    <row r="61" spans="1:21" x14ac:dyDescent="0.3">
      <c r="A61">
        <v>4</v>
      </c>
      <c r="B61">
        <v>81</v>
      </c>
      <c r="C61" t="s">
        <v>84</v>
      </c>
      <c r="D61" t="s">
        <v>29</v>
      </c>
      <c r="E61">
        <v>0.19900000000000001</v>
      </c>
      <c r="F61">
        <v>23</v>
      </c>
      <c r="H61">
        <v>1</v>
      </c>
      <c r="I61">
        <v>81</v>
      </c>
      <c r="J61" t="s">
        <v>84</v>
      </c>
      <c r="K61" t="s">
        <v>29</v>
      </c>
      <c r="L61">
        <v>0</v>
      </c>
      <c r="M61">
        <v>29</v>
      </c>
      <c r="P61">
        <v>4</v>
      </c>
      <c r="Q61">
        <v>81</v>
      </c>
      <c r="R61" t="s">
        <v>84</v>
      </c>
      <c r="S61" t="s">
        <v>29</v>
      </c>
      <c r="T61">
        <v>1.002</v>
      </c>
      <c r="U61">
        <v>19</v>
      </c>
    </row>
    <row r="62" spans="1:21" x14ac:dyDescent="0.3">
      <c r="A62">
        <v>7</v>
      </c>
      <c r="B62">
        <v>3</v>
      </c>
      <c r="C62" t="s">
        <v>90</v>
      </c>
      <c r="D62" t="s">
        <v>91</v>
      </c>
      <c r="E62">
        <v>0.79100000000000004</v>
      </c>
      <c r="F62">
        <v>27</v>
      </c>
      <c r="H62">
        <v>10</v>
      </c>
      <c r="I62">
        <v>3</v>
      </c>
      <c r="J62" t="s">
        <v>90</v>
      </c>
      <c r="K62" t="s">
        <v>91</v>
      </c>
      <c r="L62">
        <v>1.3759999999999999</v>
      </c>
      <c r="M62">
        <v>29</v>
      </c>
      <c r="P62">
        <v>8</v>
      </c>
      <c r="Q62">
        <v>3</v>
      </c>
      <c r="R62" t="s">
        <v>90</v>
      </c>
      <c r="S62" t="s">
        <v>91</v>
      </c>
      <c r="T62">
        <v>1.548</v>
      </c>
      <c r="U62">
        <v>22</v>
      </c>
    </row>
    <row r="63" spans="1:21" x14ac:dyDescent="0.3">
      <c r="A63">
        <v>13</v>
      </c>
      <c r="B63">
        <v>6</v>
      </c>
      <c r="C63" t="s">
        <v>95</v>
      </c>
      <c r="D63" t="s">
        <v>91</v>
      </c>
      <c r="E63">
        <v>1.137</v>
      </c>
      <c r="F63">
        <v>27</v>
      </c>
      <c r="H63">
        <v>15</v>
      </c>
      <c r="I63">
        <v>6</v>
      </c>
      <c r="J63" t="s">
        <v>95</v>
      </c>
      <c r="K63" t="s">
        <v>91</v>
      </c>
      <c r="L63">
        <v>1.6259999999999999</v>
      </c>
      <c r="M63">
        <v>29</v>
      </c>
      <c r="P63">
        <v>11</v>
      </c>
      <c r="Q63">
        <v>6</v>
      </c>
      <c r="R63" t="s">
        <v>95</v>
      </c>
      <c r="S63" t="s">
        <v>91</v>
      </c>
      <c r="T63">
        <v>1.732</v>
      </c>
      <c r="U63">
        <v>21</v>
      </c>
    </row>
    <row r="64" spans="1:21" x14ac:dyDescent="0.3">
      <c r="E64"/>
    </row>
    <row r="65" spans="1:8" x14ac:dyDescent="0.3">
      <c r="E65"/>
    </row>
    <row r="66" spans="1:8" x14ac:dyDescent="0.3">
      <c r="E66"/>
    </row>
    <row r="67" spans="1:8" x14ac:dyDescent="0.3">
      <c r="E67"/>
    </row>
    <row r="68" spans="1:8" x14ac:dyDescent="0.3">
      <c r="E68"/>
    </row>
    <row r="69" spans="1:8" x14ac:dyDescent="0.3">
      <c r="E69"/>
    </row>
    <row r="70" spans="1:8" x14ac:dyDescent="0.3">
      <c r="E70"/>
    </row>
    <row r="71" spans="1:8" x14ac:dyDescent="0.3">
      <c r="E71"/>
    </row>
    <row r="72" spans="1:8" x14ac:dyDescent="0.3">
      <c r="E72"/>
    </row>
    <row r="73" spans="1:8" x14ac:dyDescent="0.3">
      <c r="E73"/>
    </row>
    <row r="74" spans="1:8" x14ac:dyDescent="0.3">
      <c r="E74"/>
    </row>
    <row r="75" spans="1:8" x14ac:dyDescent="0.3">
      <c r="E75"/>
    </row>
    <row r="76" spans="1:8" x14ac:dyDescent="0.3">
      <c r="E76"/>
    </row>
    <row r="77" spans="1:8" x14ac:dyDescent="0.3">
      <c r="E77"/>
    </row>
    <row r="79" spans="1:8" x14ac:dyDescent="0.3">
      <c r="A79" t="s">
        <v>115</v>
      </c>
    </row>
    <row r="80" spans="1:8" x14ac:dyDescent="0.3">
      <c r="A80" t="s">
        <v>78</v>
      </c>
      <c r="B80" t="s">
        <v>79</v>
      </c>
      <c r="C80" t="s">
        <v>80</v>
      </c>
      <c r="D80" t="s">
        <v>81</v>
      </c>
      <c r="E80" s="2" t="s">
        <v>116</v>
      </c>
      <c r="F80" t="s">
        <v>117</v>
      </c>
      <c r="G80" t="s">
        <v>118</v>
      </c>
      <c r="H80" t="s">
        <v>157</v>
      </c>
    </row>
    <row r="81" spans="1:8" x14ac:dyDescent="0.3">
      <c r="A81">
        <v>2</v>
      </c>
      <c r="B81">
        <v>63</v>
      </c>
      <c r="C81" t="s">
        <v>87</v>
      </c>
      <c r="D81" t="s">
        <v>86</v>
      </c>
      <c r="E81">
        <v>29.966999999999999</v>
      </c>
      <c r="F81">
        <v>29.686</v>
      </c>
      <c r="G81">
        <v>29.076000000000001</v>
      </c>
      <c r="H81">
        <f>Table_1__8[[#This Row],[Q3]]-$G$82</f>
        <v>0.29800000000000182</v>
      </c>
    </row>
    <row r="82" spans="1:8" x14ac:dyDescent="0.3">
      <c r="A82">
        <v>1</v>
      </c>
      <c r="B82">
        <v>12</v>
      </c>
      <c r="C82" t="s">
        <v>85</v>
      </c>
      <c r="D82" t="s">
        <v>86</v>
      </c>
      <c r="E82">
        <v>30.035</v>
      </c>
      <c r="F82">
        <v>29.047999999999998</v>
      </c>
      <c r="G82">
        <v>28.777999999999999</v>
      </c>
      <c r="H82">
        <f>Table_1__8[[#This Row],[Q3]]-$G$82</f>
        <v>0</v>
      </c>
    </row>
    <row r="83" spans="1:8" x14ac:dyDescent="0.3">
      <c r="A83">
        <v>4</v>
      </c>
      <c r="B83">
        <v>16</v>
      </c>
      <c r="C83" t="s">
        <v>89</v>
      </c>
      <c r="D83" t="s">
        <v>28</v>
      </c>
      <c r="E83">
        <v>29.914999999999999</v>
      </c>
      <c r="F83">
        <v>29.303000000000001</v>
      </c>
      <c r="G83">
        <v>29.405000000000001</v>
      </c>
      <c r="H83">
        <f>Table_1__8[[#This Row],[Q3]]-$G$82</f>
        <v>0.62700000000000244</v>
      </c>
    </row>
    <row r="84" spans="1:8" x14ac:dyDescent="0.3">
      <c r="A84">
        <v>6</v>
      </c>
      <c r="B84">
        <v>44</v>
      </c>
      <c r="C84" t="s">
        <v>88</v>
      </c>
      <c r="D84" t="s">
        <v>28</v>
      </c>
      <c r="E84">
        <v>30.309000000000001</v>
      </c>
      <c r="F84">
        <v>29.588999999999999</v>
      </c>
      <c r="G84">
        <v>29.567</v>
      </c>
      <c r="H84">
        <f>Table_1__8[[#This Row],[Q3]]-$G$82</f>
        <v>0.78900000000000148</v>
      </c>
    </row>
    <row r="85" spans="1:8" x14ac:dyDescent="0.3">
      <c r="A85">
        <v>5</v>
      </c>
      <c r="B85">
        <v>1</v>
      </c>
      <c r="C85" t="s">
        <v>92</v>
      </c>
      <c r="D85" t="s">
        <v>29</v>
      </c>
      <c r="E85">
        <v>30.401</v>
      </c>
      <c r="F85">
        <v>29.795000000000002</v>
      </c>
      <c r="G85">
        <v>29.408999999999999</v>
      </c>
      <c r="H85">
        <f>Table_1__8[[#This Row],[Q3]]-$G$82</f>
        <v>0.63100000000000023</v>
      </c>
    </row>
    <row r="86" spans="1:8" x14ac:dyDescent="0.3">
      <c r="A86">
        <v>3</v>
      </c>
      <c r="B86">
        <v>81</v>
      </c>
      <c r="C86" t="s">
        <v>84</v>
      </c>
      <c r="D86" t="s">
        <v>29</v>
      </c>
      <c r="E86">
        <v>30.2</v>
      </c>
      <c r="F86">
        <v>29.451000000000001</v>
      </c>
      <c r="G86">
        <v>29.132000000000001</v>
      </c>
      <c r="H86">
        <f>Table_1__8[[#This Row],[Q3]]-$G$82</f>
        <v>0.35400000000000276</v>
      </c>
    </row>
    <row r="87" spans="1:8" x14ac:dyDescent="0.3">
      <c r="A87">
        <v>11</v>
      </c>
      <c r="B87">
        <v>3</v>
      </c>
      <c r="C87" t="s">
        <v>90</v>
      </c>
      <c r="D87" t="s">
        <v>91</v>
      </c>
      <c r="E87">
        <v>30.518999999999998</v>
      </c>
      <c r="F87">
        <v>30.262</v>
      </c>
      <c r="G87" t="s">
        <v>112</v>
      </c>
      <c r="H87">
        <f>Table_1__8[[#This Row],[Q2]]-$G$82</f>
        <v>1.4840000000000018</v>
      </c>
    </row>
    <row r="88" spans="1:8" x14ac:dyDescent="0.3">
      <c r="A88">
        <v>8</v>
      </c>
      <c r="B88">
        <v>6</v>
      </c>
      <c r="C88" t="s">
        <v>95</v>
      </c>
      <c r="D88" t="s">
        <v>91</v>
      </c>
      <c r="E88">
        <v>30.661999999999999</v>
      </c>
      <c r="F88">
        <v>30.103999999999999</v>
      </c>
      <c r="G88">
        <v>29.978000000000002</v>
      </c>
      <c r="H88">
        <f>Table_1__8[[#This Row],[Q3]]-$G$82</f>
        <v>1.2000000000000028</v>
      </c>
    </row>
    <row r="89" spans="1:8" x14ac:dyDescent="0.3">
      <c r="E89"/>
    </row>
    <row r="90" spans="1:8" x14ac:dyDescent="0.3">
      <c r="E90"/>
    </row>
    <row r="91" spans="1:8" x14ac:dyDescent="0.3">
      <c r="E91"/>
    </row>
    <row r="92" spans="1:8" x14ac:dyDescent="0.3">
      <c r="E92"/>
    </row>
    <row r="93" spans="1:8" x14ac:dyDescent="0.3">
      <c r="E93"/>
    </row>
    <row r="94" spans="1:8" x14ac:dyDescent="0.3">
      <c r="E94"/>
    </row>
    <row r="95" spans="1:8" x14ac:dyDescent="0.3">
      <c r="E95"/>
    </row>
    <row r="96" spans="1:8" x14ac:dyDescent="0.3">
      <c r="E96"/>
    </row>
    <row r="97" spans="1:25" x14ac:dyDescent="0.3">
      <c r="E97"/>
    </row>
    <row r="98" spans="1:25" x14ac:dyDescent="0.3">
      <c r="E98"/>
    </row>
    <row r="99" spans="1:25" x14ac:dyDescent="0.3">
      <c r="E99"/>
    </row>
    <row r="100" spans="1:25" x14ac:dyDescent="0.3">
      <c r="E100"/>
    </row>
    <row r="101" spans="1:25" x14ac:dyDescent="0.3">
      <c r="E101"/>
    </row>
    <row r="102" spans="1:25" x14ac:dyDescent="0.3">
      <c r="E102"/>
    </row>
    <row r="104" spans="1:25" x14ac:dyDescent="0.3">
      <c r="A104" t="s">
        <v>146</v>
      </c>
    </row>
    <row r="105" spans="1:25" x14ac:dyDescent="0.3">
      <c r="A105" t="s">
        <v>156</v>
      </c>
      <c r="I105" t="s">
        <v>158</v>
      </c>
      <c r="R105" t="s">
        <v>159</v>
      </c>
    </row>
    <row r="106" spans="1:25" x14ac:dyDescent="0.3">
      <c r="A106" t="s">
        <v>78</v>
      </c>
      <c r="B106" t="s">
        <v>79</v>
      </c>
      <c r="C106" t="s">
        <v>80</v>
      </c>
      <c r="D106" t="s">
        <v>81</v>
      </c>
      <c r="E106" s="2" t="s">
        <v>82</v>
      </c>
      <c r="F106" t="s">
        <v>83</v>
      </c>
      <c r="I106" t="s">
        <v>78</v>
      </c>
      <c r="J106" t="s">
        <v>79</v>
      </c>
      <c r="K106" t="s">
        <v>80</v>
      </c>
      <c r="L106" t="s">
        <v>81</v>
      </c>
      <c r="M106" t="s">
        <v>116</v>
      </c>
      <c r="N106" s="2" t="s">
        <v>117</v>
      </c>
      <c r="O106" s="2" t="s">
        <v>118</v>
      </c>
      <c r="P106" t="s">
        <v>157</v>
      </c>
      <c r="R106" t="s">
        <v>78</v>
      </c>
      <c r="S106" t="s">
        <v>79</v>
      </c>
      <c r="T106" t="s">
        <v>80</v>
      </c>
      <c r="U106" t="s">
        <v>81</v>
      </c>
      <c r="V106" t="s">
        <v>116</v>
      </c>
      <c r="W106" t="s">
        <v>117</v>
      </c>
      <c r="X106" t="s">
        <v>118</v>
      </c>
      <c r="Y106" t="s">
        <v>157</v>
      </c>
    </row>
    <row r="107" spans="1:25" x14ac:dyDescent="0.3">
      <c r="A107">
        <v>6</v>
      </c>
      <c r="B107">
        <v>63</v>
      </c>
      <c r="C107" t="s">
        <v>87</v>
      </c>
      <c r="D107" t="s">
        <v>86</v>
      </c>
      <c r="E107">
        <v>0.79</v>
      </c>
      <c r="F107">
        <v>34</v>
      </c>
      <c r="I107" t="s">
        <v>175</v>
      </c>
      <c r="J107">
        <v>63</v>
      </c>
      <c r="K107" t="s">
        <v>87</v>
      </c>
      <c r="L107" t="s">
        <v>86</v>
      </c>
      <c r="M107" t="s">
        <v>176</v>
      </c>
      <c r="N107" t="s">
        <v>177</v>
      </c>
      <c r="O107">
        <v>28.492999999999999</v>
      </c>
      <c r="P107">
        <f>Table_1__10[[#This Row],[Q3]]-$O$111</f>
        <v>0.62399999999999878</v>
      </c>
      <c r="R107" t="s">
        <v>172</v>
      </c>
      <c r="S107">
        <v>63</v>
      </c>
      <c r="T107" t="s">
        <v>87</v>
      </c>
      <c r="U107" t="s">
        <v>86</v>
      </c>
      <c r="V107" t="s">
        <v>192</v>
      </c>
      <c r="W107" t="s">
        <v>193</v>
      </c>
      <c r="X107">
        <v>28.196999999999999</v>
      </c>
      <c r="Y107">
        <f>Table_1__11[[#This Row],[Q3]]-$X$108</f>
        <v>0.39900000000000091</v>
      </c>
    </row>
    <row r="108" spans="1:25" x14ac:dyDescent="0.3">
      <c r="A108">
        <v>5</v>
      </c>
      <c r="B108">
        <v>12</v>
      </c>
      <c r="C108" t="s">
        <v>85</v>
      </c>
      <c r="D108" t="s">
        <v>86</v>
      </c>
      <c r="E108">
        <v>0.76900000000000002</v>
      </c>
      <c r="F108">
        <v>24</v>
      </c>
      <c r="I108" t="s">
        <v>163</v>
      </c>
      <c r="J108">
        <v>12</v>
      </c>
      <c r="K108" t="s">
        <v>85</v>
      </c>
      <c r="L108" t="s">
        <v>86</v>
      </c>
      <c r="M108" t="s">
        <v>164</v>
      </c>
      <c r="N108" t="s">
        <v>165</v>
      </c>
      <c r="O108">
        <v>28.091000000000001</v>
      </c>
      <c r="P108">
        <f>Table_1__10[[#This Row],[Q3]]-$O$111</f>
        <v>0.22200000000000131</v>
      </c>
      <c r="R108" t="s">
        <v>160</v>
      </c>
      <c r="S108">
        <v>12</v>
      </c>
      <c r="T108" t="s">
        <v>85</v>
      </c>
      <c r="U108" t="s">
        <v>86</v>
      </c>
      <c r="V108" t="s">
        <v>184</v>
      </c>
      <c r="W108" t="s">
        <v>185</v>
      </c>
      <c r="X108">
        <v>27.797999999999998</v>
      </c>
      <c r="Y108">
        <f>Table_1__11[[#This Row],[Q3]]-$X$108</f>
        <v>0</v>
      </c>
    </row>
    <row r="109" spans="1:25" x14ac:dyDescent="0.3">
      <c r="A109">
        <v>1</v>
      </c>
      <c r="B109">
        <v>16</v>
      </c>
      <c r="C109" t="s">
        <v>89</v>
      </c>
      <c r="D109" t="s">
        <v>28</v>
      </c>
      <c r="E109">
        <v>0</v>
      </c>
      <c r="F109">
        <v>41</v>
      </c>
      <c r="I109" t="s">
        <v>169</v>
      </c>
      <c r="J109">
        <v>16</v>
      </c>
      <c r="K109" t="s">
        <v>89</v>
      </c>
      <c r="L109" t="s">
        <v>28</v>
      </c>
      <c r="M109" t="s">
        <v>170</v>
      </c>
      <c r="N109" t="s">
        <v>171</v>
      </c>
      <c r="O109">
        <v>28.239000000000001</v>
      </c>
      <c r="P109">
        <f>Table_1__10[[#This Row],[Q3]]-$O$111</f>
        <v>0.37000000000000099</v>
      </c>
      <c r="R109" t="s">
        <v>166</v>
      </c>
      <c r="S109">
        <v>16</v>
      </c>
      <c r="T109" t="s">
        <v>89</v>
      </c>
      <c r="U109" t="s">
        <v>28</v>
      </c>
      <c r="V109" t="s">
        <v>188</v>
      </c>
      <c r="W109" t="s">
        <v>189</v>
      </c>
      <c r="X109">
        <v>28.143000000000001</v>
      </c>
      <c r="Y109">
        <f>Table_1__11[[#This Row],[Q3]]-$X$108</f>
        <v>0.34500000000000242</v>
      </c>
    </row>
    <row r="110" spans="1:25" x14ac:dyDescent="0.3">
      <c r="A110">
        <v>4</v>
      </c>
      <c r="B110">
        <v>44</v>
      </c>
      <c r="C110" t="s">
        <v>88</v>
      </c>
      <c r="D110" t="s">
        <v>28</v>
      </c>
      <c r="E110">
        <v>0.46700000000000003</v>
      </c>
      <c r="F110">
        <v>35</v>
      </c>
      <c r="I110" t="s">
        <v>178</v>
      </c>
      <c r="J110">
        <v>44</v>
      </c>
      <c r="K110" t="s">
        <v>88</v>
      </c>
      <c r="L110" t="s">
        <v>28</v>
      </c>
      <c r="M110" t="s">
        <v>179</v>
      </c>
      <c r="N110" t="s">
        <v>180</v>
      </c>
      <c r="O110">
        <v>28.617999999999999</v>
      </c>
      <c r="P110">
        <f>Table_1__10[[#This Row],[Q3]]-$O$111</f>
        <v>0.74899999999999878</v>
      </c>
      <c r="R110" t="s">
        <v>175</v>
      </c>
      <c r="S110">
        <v>44</v>
      </c>
      <c r="T110" t="s">
        <v>88</v>
      </c>
      <c r="U110" t="s">
        <v>28</v>
      </c>
      <c r="V110" t="s">
        <v>194</v>
      </c>
      <c r="W110" t="s">
        <v>193</v>
      </c>
      <c r="X110">
        <v>28.318999999999999</v>
      </c>
      <c r="Y110">
        <f>Table_1__11[[#This Row],[Q3]]-$X$108</f>
        <v>0.5210000000000008</v>
      </c>
    </row>
    <row r="111" spans="1:25" x14ac:dyDescent="0.3">
      <c r="A111">
        <v>7</v>
      </c>
      <c r="B111">
        <v>1</v>
      </c>
      <c r="C111" t="s">
        <v>92</v>
      </c>
      <c r="D111" t="s">
        <v>29</v>
      </c>
      <c r="E111">
        <v>0.89800000000000002</v>
      </c>
      <c r="F111">
        <v>35</v>
      </c>
      <c r="I111" t="s">
        <v>160</v>
      </c>
      <c r="J111">
        <v>1</v>
      </c>
      <c r="K111" t="s">
        <v>92</v>
      </c>
      <c r="L111" t="s">
        <v>29</v>
      </c>
      <c r="M111" t="s">
        <v>161</v>
      </c>
      <c r="N111" t="s">
        <v>162</v>
      </c>
      <c r="O111">
        <v>27.869</v>
      </c>
      <c r="P111">
        <f>Table_1__10[[#This Row],[Q3]]-$O$111</f>
        <v>0</v>
      </c>
      <c r="R111" t="s">
        <v>169</v>
      </c>
      <c r="S111">
        <v>1</v>
      </c>
      <c r="T111" t="s">
        <v>92</v>
      </c>
      <c r="U111" t="s">
        <v>29</v>
      </c>
      <c r="V111" t="s">
        <v>190</v>
      </c>
      <c r="W111" t="s">
        <v>191</v>
      </c>
      <c r="X111">
        <v>28.183</v>
      </c>
      <c r="Y111">
        <f>Table_1__11[[#This Row],[Q3]]-$X$108</f>
        <v>0.38500000000000156</v>
      </c>
    </row>
    <row r="112" spans="1:25" x14ac:dyDescent="0.3">
      <c r="A112">
        <v>3</v>
      </c>
      <c r="B112">
        <v>81</v>
      </c>
      <c r="C112" t="s">
        <v>84</v>
      </c>
      <c r="D112" t="s">
        <v>29</v>
      </c>
      <c r="E112">
        <v>0.44800000000000001</v>
      </c>
      <c r="F112">
        <v>35</v>
      </c>
      <c r="I112" t="s">
        <v>166</v>
      </c>
      <c r="J112">
        <v>81</v>
      </c>
      <c r="K112" t="s">
        <v>84</v>
      </c>
      <c r="L112" t="s">
        <v>29</v>
      </c>
      <c r="M112" t="s">
        <v>167</v>
      </c>
      <c r="N112" t="s">
        <v>168</v>
      </c>
      <c r="O112">
        <v>28.108000000000001</v>
      </c>
      <c r="P112">
        <f>Table_1__10[[#This Row],[Q3]]-$O$111</f>
        <v>0.23900000000000077</v>
      </c>
      <c r="R112" t="s">
        <v>178</v>
      </c>
      <c r="S112">
        <v>81</v>
      </c>
      <c r="T112" t="s">
        <v>84</v>
      </c>
      <c r="U112" t="s">
        <v>29</v>
      </c>
      <c r="V112" t="s">
        <v>195</v>
      </c>
      <c r="W112" t="s">
        <v>196</v>
      </c>
      <c r="X112">
        <v>28.5</v>
      </c>
      <c r="Y112">
        <f>Table_1__11[[#This Row],[Q3]]-$X$108</f>
        <v>0.70200000000000173</v>
      </c>
    </row>
    <row r="113" spans="1:25" x14ac:dyDescent="0.3">
      <c r="A113">
        <v>2</v>
      </c>
      <c r="B113">
        <v>3</v>
      </c>
      <c r="C113" t="s">
        <v>90</v>
      </c>
      <c r="D113" t="s">
        <v>91</v>
      </c>
      <c r="E113">
        <v>0.29699999999999999</v>
      </c>
      <c r="F113">
        <v>41</v>
      </c>
      <c r="I113" t="s">
        <v>172</v>
      </c>
      <c r="J113">
        <v>3</v>
      </c>
      <c r="K113" t="s">
        <v>90</v>
      </c>
      <c r="L113" t="s">
        <v>91</v>
      </c>
      <c r="M113" t="s">
        <v>173</v>
      </c>
      <c r="N113" t="s">
        <v>174</v>
      </c>
      <c r="O113">
        <v>28.460999999999999</v>
      </c>
      <c r="P113">
        <f>Table_1__10[[#This Row],[Q3]]-$O$111</f>
        <v>0.59199999999999875</v>
      </c>
      <c r="R113" t="s">
        <v>163</v>
      </c>
      <c r="S113">
        <v>3</v>
      </c>
      <c r="T113" t="s">
        <v>90</v>
      </c>
      <c r="U113" t="s">
        <v>91</v>
      </c>
      <c r="V113" t="s">
        <v>186</v>
      </c>
      <c r="W113" t="s">
        <v>187</v>
      </c>
      <c r="X113">
        <v>27.963999999999999</v>
      </c>
      <c r="Y113">
        <f>Table_1__11[[#This Row],[Q3]]-$X$108</f>
        <v>0.16600000000000037</v>
      </c>
    </row>
    <row r="114" spans="1:25" x14ac:dyDescent="0.3">
      <c r="A114">
        <v>9</v>
      </c>
      <c r="B114">
        <v>6</v>
      </c>
      <c r="C114" t="s">
        <v>95</v>
      </c>
      <c r="D114" t="s">
        <v>91</v>
      </c>
      <c r="E114">
        <v>1.5629999999999999</v>
      </c>
      <c r="F114">
        <v>40</v>
      </c>
      <c r="I114" t="s">
        <v>181</v>
      </c>
      <c r="J114">
        <v>6</v>
      </c>
      <c r="K114" t="s">
        <v>95</v>
      </c>
      <c r="L114" t="s">
        <v>91</v>
      </c>
      <c r="M114" t="s">
        <v>182</v>
      </c>
      <c r="N114" t="s">
        <v>183</v>
      </c>
      <c r="O114">
        <v>29.422000000000001</v>
      </c>
      <c r="P114">
        <f>Table_1__10[[#This Row],[Q3]]-$O$111</f>
        <v>1.5530000000000008</v>
      </c>
      <c r="R114" t="s">
        <v>197</v>
      </c>
      <c r="S114">
        <v>6</v>
      </c>
      <c r="T114" t="s">
        <v>95</v>
      </c>
      <c r="U114" t="s">
        <v>91</v>
      </c>
      <c r="V114" t="s">
        <v>112</v>
      </c>
      <c r="W114" t="s">
        <v>198</v>
      </c>
      <c r="X114">
        <v>28.789000000000001</v>
      </c>
      <c r="Y114">
        <v>59.99</v>
      </c>
    </row>
    <row r="115" spans="1:25" x14ac:dyDescent="0.3">
      <c r="E115"/>
      <c r="N115"/>
      <c r="O115"/>
    </row>
    <row r="116" spans="1:25" x14ac:dyDescent="0.3">
      <c r="E116"/>
      <c r="N116"/>
      <c r="O116"/>
    </row>
    <row r="117" spans="1:25" x14ac:dyDescent="0.3">
      <c r="E117"/>
      <c r="N117"/>
      <c r="O117"/>
    </row>
    <row r="118" spans="1:25" x14ac:dyDescent="0.3">
      <c r="E118"/>
      <c r="N118"/>
      <c r="O118"/>
    </row>
    <row r="119" spans="1:25" x14ac:dyDescent="0.3">
      <c r="E119"/>
      <c r="N119"/>
      <c r="O119"/>
    </row>
    <row r="120" spans="1:25" x14ac:dyDescent="0.3">
      <c r="E120"/>
      <c r="N120"/>
      <c r="O120"/>
    </row>
    <row r="121" spans="1:25" x14ac:dyDescent="0.3">
      <c r="E121"/>
      <c r="N121"/>
      <c r="O121"/>
    </row>
    <row r="122" spans="1:25" x14ac:dyDescent="0.3">
      <c r="E122"/>
      <c r="N122"/>
      <c r="O122"/>
    </row>
    <row r="123" spans="1:25" x14ac:dyDescent="0.3">
      <c r="E123"/>
      <c r="N123"/>
      <c r="O123"/>
    </row>
    <row r="124" spans="1:25" x14ac:dyDescent="0.3">
      <c r="E124"/>
      <c r="N124"/>
      <c r="O124"/>
    </row>
    <row r="125" spans="1:25" x14ac:dyDescent="0.3">
      <c r="E125"/>
      <c r="N125"/>
      <c r="O125"/>
    </row>
    <row r="126" spans="1:25" x14ac:dyDescent="0.3">
      <c r="E126"/>
      <c r="N126"/>
      <c r="O126"/>
    </row>
    <row r="127" spans="1:25" x14ac:dyDescent="0.3">
      <c r="E127"/>
      <c r="N127"/>
      <c r="O127"/>
    </row>
    <row r="128" spans="1:25" x14ac:dyDescent="0.3">
      <c r="E128"/>
    </row>
    <row r="130" spans="1:25" x14ac:dyDescent="0.3">
      <c r="A130" t="s">
        <v>147</v>
      </c>
    </row>
    <row r="131" spans="1:25" x14ac:dyDescent="0.3">
      <c r="A131" t="s">
        <v>156</v>
      </c>
      <c r="I131" t="s">
        <v>158</v>
      </c>
      <c r="R131" t="s">
        <v>159</v>
      </c>
    </row>
    <row r="132" spans="1:25" x14ac:dyDescent="0.3">
      <c r="A132" t="s">
        <v>78</v>
      </c>
      <c r="B132" t="s">
        <v>79</v>
      </c>
      <c r="C132" t="s">
        <v>80</v>
      </c>
      <c r="D132" t="s">
        <v>81</v>
      </c>
      <c r="E132" s="2" t="s">
        <v>82</v>
      </c>
      <c r="F132" t="s">
        <v>83</v>
      </c>
      <c r="I132" t="s">
        <v>78</v>
      </c>
      <c r="J132" t="s">
        <v>79</v>
      </c>
      <c r="K132" t="s">
        <v>80</v>
      </c>
      <c r="L132" t="s">
        <v>81</v>
      </c>
      <c r="M132" t="s">
        <v>116</v>
      </c>
      <c r="N132" s="2" t="s">
        <v>117</v>
      </c>
      <c r="O132" s="2" t="s">
        <v>118</v>
      </c>
      <c r="P132" t="s">
        <v>232</v>
      </c>
      <c r="R132" t="s">
        <v>78</v>
      </c>
      <c r="S132" t="s">
        <v>79</v>
      </c>
      <c r="T132" t="s">
        <v>80</v>
      </c>
      <c r="U132" t="s">
        <v>81</v>
      </c>
      <c r="V132" t="s">
        <v>116</v>
      </c>
      <c r="W132" t="s">
        <v>117</v>
      </c>
      <c r="X132" t="s">
        <v>118</v>
      </c>
      <c r="Y132" t="s">
        <v>83</v>
      </c>
    </row>
    <row r="133" spans="1:25" x14ac:dyDescent="0.3">
      <c r="A133">
        <v>2</v>
      </c>
      <c r="B133">
        <v>63</v>
      </c>
      <c r="C133" t="s">
        <v>87</v>
      </c>
      <c r="D133" t="s">
        <v>86</v>
      </c>
      <c r="E133">
        <v>0.14199999999999999</v>
      </c>
      <c r="F133">
        <v>35</v>
      </c>
      <c r="I133">
        <v>1</v>
      </c>
      <c r="J133">
        <v>63</v>
      </c>
      <c r="K133" t="s">
        <v>87</v>
      </c>
      <c r="L133" t="s">
        <v>86</v>
      </c>
      <c r="M133" t="s">
        <v>199</v>
      </c>
      <c r="N133" t="s">
        <v>200</v>
      </c>
      <c r="O133">
        <v>12.965</v>
      </c>
      <c r="P133">
        <f>Table_1__13[[#This Row],[Q3]]-$O$133</f>
        <v>0</v>
      </c>
      <c r="R133">
        <v>1</v>
      </c>
      <c r="S133">
        <v>63</v>
      </c>
      <c r="T133" t="s">
        <v>87</v>
      </c>
      <c r="U133" t="s">
        <v>86</v>
      </c>
      <c r="V133" t="s">
        <v>216</v>
      </c>
      <c r="W133" t="s">
        <v>217</v>
      </c>
      <c r="X133">
        <v>12.577999999999999</v>
      </c>
      <c r="Y133">
        <f>Table_1__14[[#This Row],[Q3]]-$X$133</f>
        <v>0</v>
      </c>
    </row>
    <row r="134" spans="1:25" x14ac:dyDescent="0.3">
      <c r="A134">
        <v>1</v>
      </c>
      <c r="B134">
        <v>12</v>
      </c>
      <c r="C134" t="s">
        <v>85</v>
      </c>
      <c r="D134" t="s">
        <v>86</v>
      </c>
      <c r="E134">
        <v>0</v>
      </c>
      <c r="F134">
        <v>33</v>
      </c>
      <c r="I134">
        <v>2</v>
      </c>
      <c r="J134">
        <v>12</v>
      </c>
      <c r="K134" t="s">
        <v>85</v>
      </c>
      <c r="L134" t="s">
        <v>86</v>
      </c>
      <c r="M134" t="s">
        <v>201</v>
      </c>
      <c r="N134" t="s">
        <v>202</v>
      </c>
      <c r="O134">
        <v>13.032999999999999</v>
      </c>
      <c r="P134">
        <f>Table_1__13[[#This Row],[Q3]]-$O$133</f>
        <v>6.7999999999999616E-2</v>
      </c>
      <c r="R134">
        <v>2</v>
      </c>
      <c r="S134">
        <v>12</v>
      </c>
      <c r="T134" t="s">
        <v>85</v>
      </c>
      <c r="U134" t="s">
        <v>86</v>
      </c>
      <c r="V134" t="s">
        <v>218</v>
      </c>
      <c r="W134" t="s">
        <v>219</v>
      </c>
      <c r="X134">
        <v>12.646000000000001</v>
      </c>
      <c r="Y134">
        <f>Table_1__14[[#This Row],[Q3]]-$X$133</f>
        <v>6.8000000000001393E-2</v>
      </c>
    </row>
    <row r="135" spans="1:25" x14ac:dyDescent="0.3">
      <c r="A135">
        <v>4</v>
      </c>
      <c r="B135">
        <v>16</v>
      </c>
      <c r="C135" t="s">
        <v>89</v>
      </c>
      <c r="D135" t="s">
        <v>28</v>
      </c>
      <c r="E135">
        <v>0.95299999999999996</v>
      </c>
      <c r="F135">
        <v>36</v>
      </c>
      <c r="I135">
        <v>6</v>
      </c>
      <c r="J135">
        <v>16</v>
      </c>
      <c r="K135" t="s">
        <v>89</v>
      </c>
      <c r="L135" t="s">
        <v>28</v>
      </c>
      <c r="M135" t="s">
        <v>209</v>
      </c>
      <c r="N135" t="s">
        <v>210</v>
      </c>
      <c r="O135">
        <v>13.41</v>
      </c>
      <c r="P135">
        <f>Table_1__13[[#This Row],[Q3]]-$O$133</f>
        <v>0.44500000000000028</v>
      </c>
      <c r="R135">
        <v>8</v>
      </c>
      <c r="S135">
        <v>16</v>
      </c>
      <c r="T135" t="s">
        <v>89</v>
      </c>
      <c r="U135" t="s">
        <v>28</v>
      </c>
      <c r="V135" t="s">
        <v>230</v>
      </c>
      <c r="W135" t="s">
        <v>231</v>
      </c>
      <c r="X135">
        <v>12.976000000000001</v>
      </c>
      <c r="Y135">
        <f>Table_1__14[[#This Row],[Q3]]-$X$133</f>
        <v>0.39800000000000146</v>
      </c>
    </row>
    <row r="136" spans="1:25" x14ac:dyDescent="0.3">
      <c r="A136">
        <v>3</v>
      </c>
      <c r="B136">
        <v>44</v>
      </c>
      <c r="C136" t="s">
        <v>88</v>
      </c>
      <c r="D136" t="s">
        <v>28</v>
      </c>
      <c r="E136">
        <v>0.77400000000000002</v>
      </c>
      <c r="F136">
        <v>36</v>
      </c>
      <c r="I136">
        <v>5</v>
      </c>
      <c r="J136">
        <v>44</v>
      </c>
      <c r="K136" t="s">
        <v>88</v>
      </c>
      <c r="L136" t="s">
        <v>28</v>
      </c>
      <c r="M136" t="s">
        <v>207</v>
      </c>
      <c r="N136" t="s">
        <v>208</v>
      </c>
      <c r="O136">
        <v>13.326000000000001</v>
      </c>
      <c r="P136">
        <f>Table_1__13[[#This Row],[Q3]]-$O$133</f>
        <v>0.36100000000000065</v>
      </c>
      <c r="R136">
        <v>5</v>
      </c>
      <c r="S136">
        <v>44</v>
      </c>
      <c r="T136" t="s">
        <v>88</v>
      </c>
      <c r="U136" t="s">
        <v>28</v>
      </c>
      <c r="V136" t="s">
        <v>224</v>
      </c>
      <c r="W136" t="s">
        <v>225</v>
      </c>
      <c r="X136">
        <v>12.868</v>
      </c>
      <c r="Y136">
        <f>Table_1__14[[#This Row],[Q3]]-$X$133</f>
        <v>0.29000000000000092</v>
      </c>
    </row>
    <row r="137" spans="1:25" x14ac:dyDescent="0.3">
      <c r="A137">
        <v>6</v>
      </c>
      <c r="B137">
        <v>1</v>
      </c>
      <c r="C137" t="s">
        <v>92</v>
      </c>
      <c r="D137" t="s">
        <v>29</v>
      </c>
      <c r="E137">
        <v>1.397</v>
      </c>
      <c r="F137">
        <v>32</v>
      </c>
      <c r="I137">
        <v>3</v>
      </c>
      <c r="J137">
        <v>1</v>
      </c>
      <c r="K137" t="s">
        <v>92</v>
      </c>
      <c r="L137" t="s">
        <v>29</v>
      </c>
      <c r="M137" t="s">
        <v>203</v>
      </c>
      <c r="N137" t="s">
        <v>204</v>
      </c>
      <c r="O137">
        <v>13.28</v>
      </c>
      <c r="P137">
        <f>Table_1__13[[#This Row],[Q3]]-$O$133</f>
        <v>0.3149999999999995</v>
      </c>
      <c r="R137">
        <v>3</v>
      </c>
      <c r="S137">
        <v>1</v>
      </c>
      <c r="T137" t="s">
        <v>92</v>
      </c>
      <c r="U137" t="s">
        <v>29</v>
      </c>
      <c r="V137" t="s">
        <v>220</v>
      </c>
      <c r="W137" t="s">
        <v>221</v>
      </c>
      <c r="X137">
        <v>12.728999999999999</v>
      </c>
      <c r="Y137">
        <f>Table_1__14[[#This Row],[Q3]]-$X$133</f>
        <v>0.1509999999999998</v>
      </c>
    </row>
    <row r="138" spans="1:25" x14ac:dyDescent="0.3">
      <c r="A138">
        <v>7</v>
      </c>
      <c r="B138">
        <v>81</v>
      </c>
      <c r="C138" t="s">
        <v>84</v>
      </c>
      <c r="D138" t="s">
        <v>29</v>
      </c>
      <c r="E138">
        <v>1.5609999999999999</v>
      </c>
      <c r="F138">
        <v>32</v>
      </c>
      <c r="I138">
        <v>4</v>
      </c>
      <c r="J138">
        <v>81</v>
      </c>
      <c r="K138" t="s">
        <v>84</v>
      </c>
      <c r="L138" t="s">
        <v>29</v>
      </c>
      <c r="M138" t="s">
        <v>205</v>
      </c>
      <c r="N138" t="s">
        <v>206</v>
      </c>
      <c r="O138">
        <v>13.298999999999999</v>
      </c>
      <c r="P138">
        <f>Table_1__13[[#This Row],[Q3]]-$O$133</f>
        <v>0.33399999999999963</v>
      </c>
      <c r="R138">
        <v>4</v>
      </c>
      <c r="S138">
        <v>81</v>
      </c>
      <c r="T138" t="s">
        <v>84</v>
      </c>
      <c r="U138" t="s">
        <v>29</v>
      </c>
      <c r="V138" t="s">
        <v>222</v>
      </c>
      <c r="W138" t="s">
        <v>223</v>
      </c>
      <c r="X138">
        <v>12.781000000000001</v>
      </c>
      <c r="Y138">
        <f>Table_1__14[[#This Row],[Q3]]-$X$133</f>
        <v>0.20300000000000118</v>
      </c>
    </row>
    <row r="139" spans="1:25" x14ac:dyDescent="0.3">
      <c r="A139">
        <v>5</v>
      </c>
      <c r="B139">
        <v>3</v>
      </c>
      <c r="C139" t="s">
        <v>90</v>
      </c>
      <c r="D139" t="s">
        <v>91</v>
      </c>
      <c r="E139">
        <v>0.96399999999999997</v>
      </c>
      <c r="F139">
        <v>31</v>
      </c>
      <c r="I139">
        <v>7</v>
      </c>
      <c r="J139">
        <v>3</v>
      </c>
      <c r="K139" t="s">
        <v>90</v>
      </c>
      <c r="L139" t="s">
        <v>91</v>
      </c>
      <c r="M139" t="s">
        <v>211</v>
      </c>
      <c r="N139" t="s">
        <v>212</v>
      </c>
      <c r="O139">
        <v>13.504</v>
      </c>
      <c r="P139">
        <f>Table_1__13[[#This Row],[Q3]]-$O$133</f>
        <v>0.5389999999999997</v>
      </c>
      <c r="R139">
        <v>6</v>
      </c>
      <c r="S139">
        <v>3</v>
      </c>
      <c r="T139" t="s">
        <v>90</v>
      </c>
      <c r="U139" t="s">
        <v>91</v>
      </c>
      <c r="V139" t="s">
        <v>226</v>
      </c>
      <c r="W139" t="s">
        <v>227</v>
      </c>
      <c r="X139">
        <v>12.907</v>
      </c>
      <c r="Y139">
        <f>Table_1__14[[#This Row],[Q3]]-$X$133</f>
        <v>0.32900000000000063</v>
      </c>
    </row>
    <row r="140" spans="1:25" x14ac:dyDescent="0.3">
      <c r="A140">
        <v>12</v>
      </c>
      <c r="B140">
        <v>6</v>
      </c>
      <c r="C140" t="s">
        <v>95</v>
      </c>
      <c r="D140" t="s">
        <v>91</v>
      </c>
      <c r="E140">
        <v>2.851</v>
      </c>
      <c r="F140">
        <v>29</v>
      </c>
      <c r="I140">
        <v>8</v>
      </c>
      <c r="J140">
        <v>6</v>
      </c>
      <c r="K140" t="s">
        <v>95</v>
      </c>
      <c r="L140" t="s">
        <v>91</v>
      </c>
      <c r="M140" t="s">
        <v>213</v>
      </c>
      <c r="N140" t="s">
        <v>214</v>
      </c>
      <c r="O140">
        <v>13.605</v>
      </c>
      <c r="P140">
        <f>Table_1__13[[#This Row],[Q3]]-$O$133</f>
        <v>0.64000000000000057</v>
      </c>
      <c r="R140">
        <v>7</v>
      </c>
      <c r="S140">
        <v>6</v>
      </c>
      <c r="T140" t="s">
        <v>95</v>
      </c>
      <c r="U140" t="s">
        <v>91</v>
      </c>
      <c r="V140" t="s">
        <v>228</v>
      </c>
      <c r="W140" t="s">
        <v>229</v>
      </c>
      <c r="X140">
        <v>12.935</v>
      </c>
      <c r="Y140">
        <f>Table_1__14[[#This Row],[Q3]]-$X$133</f>
        <v>0.35700000000000109</v>
      </c>
    </row>
    <row r="141" spans="1:25" x14ac:dyDescent="0.3">
      <c r="E141"/>
      <c r="N141"/>
      <c r="O141"/>
    </row>
    <row r="142" spans="1:25" x14ac:dyDescent="0.3">
      <c r="E142"/>
      <c r="N142"/>
      <c r="O142"/>
    </row>
    <row r="143" spans="1:25" x14ac:dyDescent="0.3">
      <c r="E143"/>
      <c r="N143"/>
      <c r="O143"/>
    </row>
    <row r="144" spans="1:25" x14ac:dyDescent="0.3">
      <c r="E144"/>
      <c r="N144"/>
      <c r="O144"/>
    </row>
    <row r="145" spans="1:23" x14ac:dyDescent="0.3">
      <c r="E145"/>
      <c r="N145"/>
      <c r="O145"/>
    </row>
    <row r="146" spans="1:23" x14ac:dyDescent="0.3">
      <c r="E146"/>
      <c r="N146"/>
      <c r="O146"/>
    </row>
    <row r="147" spans="1:23" x14ac:dyDescent="0.3">
      <c r="E147"/>
      <c r="N147"/>
      <c r="O147"/>
    </row>
    <row r="148" spans="1:23" x14ac:dyDescent="0.3">
      <c r="E148"/>
      <c r="N148"/>
      <c r="O148"/>
    </row>
    <row r="149" spans="1:23" x14ac:dyDescent="0.3">
      <c r="E149"/>
      <c r="N149"/>
      <c r="O149"/>
    </row>
    <row r="150" spans="1:23" x14ac:dyDescent="0.3">
      <c r="E150"/>
      <c r="N150"/>
      <c r="O150"/>
    </row>
    <row r="151" spans="1:23" x14ac:dyDescent="0.3">
      <c r="E151"/>
      <c r="N151"/>
      <c r="O151"/>
    </row>
    <row r="152" spans="1:23" x14ac:dyDescent="0.3">
      <c r="E152"/>
      <c r="N152"/>
      <c r="O152"/>
    </row>
    <row r="153" spans="1:23" x14ac:dyDescent="0.3">
      <c r="E153"/>
    </row>
    <row r="154" spans="1:23" x14ac:dyDescent="0.3">
      <c r="E154"/>
    </row>
    <row r="156" spans="1:23" x14ac:dyDescent="0.3">
      <c r="A156" t="s">
        <v>148</v>
      </c>
    </row>
    <row r="157" spans="1:23" x14ac:dyDescent="0.3">
      <c r="A157" t="s">
        <v>156</v>
      </c>
      <c r="I157" t="s">
        <v>113</v>
      </c>
      <c r="R157" t="s">
        <v>114</v>
      </c>
    </row>
    <row r="158" spans="1:23" x14ac:dyDescent="0.3">
      <c r="A158" t="s">
        <v>78</v>
      </c>
      <c r="B158" t="s">
        <v>79</v>
      </c>
      <c r="C158" t="s">
        <v>80</v>
      </c>
      <c r="D158" t="s">
        <v>81</v>
      </c>
      <c r="E158" t="s">
        <v>82</v>
      </c>
      <c r="F158" t="s">
        <v>83</v>
      </c>
      <c r="I158" t="s">
        <v>78</v>
      </c>
      <c r="J158" t="s">
        <v>79</v>
      </c>
      <c r="K158" t="s">
        <v>80</v>
      </c>
      <c r="L158" t="s">
        <v>81</v>
      </c>
      <c r="M158" t="s">
        <v>82</v>
      </c>
      <c r="N158" s="2" t="s">
        <v>83</v>
      </c>
      <c r="R158" t="s">
        <v>78</v>
      </c>
      <c r="S158" t="s">
        <v>79</v>
      </c>
      <c r="T158" t="s">
        <v>80</v>
      </c>
      <c r="U158" t="s">
        <v>81</v>
      </c>
      <c r="V158" t="s">
        <v>82</v>
      </c>
      <c r="W158" t="s">
        <v>83</v>
      </c>
    </row>
    <row r="159" spans="1:23" x14ac:dyDescent="0.3">
      <c r="A159">
        <v>5</v>
      </c>
      <c r="B159">
        <v>63</v>
      </c>
      <c r="C159" t="s">
        <v>87</v>
      </c>
      <c r="D159" t="s">
        <v>86</v>
      </c>
      <c r="E159">
        <v>1.0049999999999999</v>
      </c>
      <c r="F159">
        <v>29</v>
      </c>
      <c r="I159">
        <v>4</v>
      </c>
      <c r="J159">
        <v>63</v>
      </c>
      <c r="K159" t="s">
        <v>87</v>
      </c>
      <c r="L159" t="s">
        <v>86</v>
      </c>
      <c r="M159">
        <v>0.379</v>
      </c>
      <c r="N159">
        <v>35</v>
      </c>
      <c r="R159">
        <v>4</v>
      </c>
      <c r="S159">
        <v>63</v>
      </c>
      <c r="T159" t="s">
        <v>87</v>
      </c>
      <c r="U159" t="s">
        <v>86</v>
      </c>
      <c r="V159">
        <v>0.76300000000000001</v>
      </c>
      <c r="W159">
        <v>23</v>
      </c>
    </row>
    <row r="160" spans="1:23" x14ac:dyDescent="0.3">
      <c r="A160">
        <v>4</v>
      </c>
      <c r="B160">
        <v>12</v>
      </c>
      <c r="C160" t="s">
        <v>85</v>
      </c>
      <c r="D160" t="s">
        <v>86</v>
      </c>
      <c r="E160">
        <v>0.55900000000000005</v>
      </c>
      <c r="F160">
        <v>31</v>
      </c>
      <c r="I160">
        <v>5</v>
      </c>
      <c r="J160">
        <v>12</v>
      </c>
      <c r="K160" t="s">
        <v>85</v>
      </c>
      <c r="L160" t="s">
        <v>86</v>
      </c>
      <c r="M160">
        <v>0.503</v>
      </c>
      <c r="N160">
        <v>35</v>
      </c>
      <c r="R160">
        <v>1</v>
      </c>
      <c r="S160">
        <v>12</v>
      </c>
      <c r="T160" t="s">
        <v>85</v>
      </c>
      <c r="U160" t="s">
        <v>86</v>
      </c>
      <c r="V160">
        <v>0</v>
      </c>
      <c r="W160">
        <v>22</v>
      </c>
    </row>
    <row r="161" spans="1:23" x14ac:dyDescent="0.3">
      <c r="A161">
        <v>1</v>
      </c>
      <c r="B161">
        <v>16</v>
      </c>
      <c r="C161" t="s">
        <v>89</v>
      </c>
      <c r="D161" t="s">
        <v>28</v>
      </c>
      <c r="E161">
        <v>0</v>
      </c>
      <c r="F161">
        <v>31</v>
      </c>
      <c r="I161">
        <v>2</v>
      </c>
      <c r="J161">
        <v>16</v>
      </c>
      <c r="K161" t="s">
        <v>89</v>
      </c>
      <c r="L161" t="s">
        <v>28</v>
      </c>
      <c r="M161">
        <v>0.111</v>
      </c>
      <c r="N161">
        <v>36</v>
      </c>
      <c r="R161">
        <v>2</v>
      </c>
      <c r="S161">
        <v>16</v>
      </c>
      <c r="T161" t="s">
        <v>89</v>
      </c>
      <c r="U161" t="s">
        <v>28</v>
      </c>
      <c r="V161">
        <v>0.32700000000000001</v>
      </c>
      <c r="W161">
        <v>32</v>
      </c>
    </row>
    <row r="162" spans="1:23" x14ac:dyDescent="0.3">
      <c r="A162">
        <v>2</v>
      </c>
      <c r="B162">
        <v>44</v>
      </c>
      <c r="C162" t="s">
        <v>88</v>
      </c>
      <c r="D162" t="s">
        <v>28</v>
      </c>
      <c r="E162">
        <v>0.22600000000000001</v>
      </c>
      <c r="F162">
        <v>28</v>
      </c>
      <c r="I162">
        <v>1</v>
      </c>
      <c r="J162">
        <v>44</v>
      </c>
      <c r="K162" t="s">
        <v>88</v>
      </c>
      <c r="L162" t="s">
        <v>28</v>
      </c>
      <c r="M162">
        <v>0</v>
      </c>
      <c r="N162">
        <v>36</v>
      </c>
      <c r="R162">
        <v>3</v>
      </c>
      <c r="S162">
        <v>44</v>
      </c>
      <c r="T162" t="s">
        <v>88</v>
      </c>
      <c r="U162" t="s">
        <v>28</v>
      </c>
      <c r="V162">
        <v>0.33100000000000002</v>
      </c>
      <c r="W162">
        <v>30</v>
      </c>
    </row>
    <row r="163" spans="1:23" x14ac:dyDescent="0.3">
      <c r="A163">
        <v>6</v>
      </c>
      <c r="B163">
        <v>1</v>
      </c>
      <c r="C163" t="s">
        <v>92</v>
      </c>
      <c r="D163" t="s">
        <v>29</v>
      </c>
      <c r="E163">
        <v>1.3129999999999999</v>
      </c>
      <c r="F163">
        <v>27</v>
      </c>
      <c r="I163">
        <v>19</v>
      </c>
      <c r="J163">
        <v>1</v>
      </c>
      <c r="K163" t="s">
        <v>92</v>
      </c>
      <c r="L163" t="s">
        <v>29</v>
      </c>
      <c r="M163">
        <v>2.2480000000000002</v>
      </c>
      <c r="N163">
        <v>8</v>
      </c>
      <c r="R163">
        <v>9</v>
      </c>
      <c r="S163">
        <v>1</v>
      </c>
      <c r="T163" t="s">
        <v>92</v>
      </c>
      <c r="U163" t="s">
        <v>29</v>
      </c>
      <c r="V163">
        <v>1.286</v>
      </c>
      <c r="W163">
        <v>24</v>
      </c>
    </row>
    <row r="164" spans="1:23" x14ac:dyDescent="0.3">
      <c r="A164">
        <v>8</v>
      </c>
      <c r="B164">
        <v>81</v>
      </c>
      <c r="C164" t="s">
        <v>84</v>
      </c>
      <c r="D164" t="s">
        <v>29</v>
      </c>
      <c r="E164">
        <v>1.587</v>
      </c>
      <c r="F164">
        <v>29</v>
      </c>
      <c r="I164">
        <v>7</v>
      </c>
      <c r="J164">
        <v>81</v>
      </c>
      <c r="K164" t="s">
        <v>84</v>
      </c>
      <c r="L164" t="s">
        <v>29</v>
      </c>
      <c r="M164">
        <v>1.0620000000000001</v>
      </c>
      <c r="N164">
        <v>31</v>
      </c>
      <c r="R164">
        <v>6</v>
      </c>
      <c r="S164">
        <v>81</v>
      </c>
      <c r="T164" t="s">
        <v>84</v>
      </c>
      <c r="U164" t="s">
        <v>29</v>
      </c>
      <c r="V164">
        <v>0.97799999999999998</v>
      </c>
      <c r="W164">
        <v>20</v>
      </c>
    </row>
    <row r="165" spans="1:23" x14ac:dyDescent="0.3">
      <c r="A165">
        <v>3</v>
      </c>
      <c r="B165">
        <v>3</v>
      </c>
      <c r="C165" t="s">
        <v>90</v>
      </c>
      <c r="D165" t="s">
        <v>91</v>
      </c>
      <c r="E165">
        <v>0.51300000000000001</v>
      </c>
      <c r="F165">
        <v>26</v>
      </c>
      <c r="I165">
        <v>3</v>
      </c>
      <c r="J165">
        <v>3</v>
      </c>
      <c r="K165" t="s">
        <v>90</v>
      </c>
      <c r="L165" t="s">
        <v>91</v>
      </c>
      <c r="M165">
        <v>0.16800000000000001</v>
      </c>
      <c r="N165">
        <v>35</v>
      </c>
      <c r="R165">
        <v>5</v>
      </c>
      <c r="S165">
        <v>3</v>
      </c>
      <c r="T165" t="s">
        <v>90</v>
      </c>
      <c r="U165" t="s">
        <v>91</v>
      </c>
      <c r="V165">
        <v>0.94199999999999995</v>
      </c>
      <c r="W165">
        <v>23</v>
      </c>
    </row>
    <row r="166" spans="1:23" x14ac:dyDescent="0.3">
      <c r="A166">
        <v>13</v>
      </c>
      <c r="B166">
        <v>6</v>
      </c>
      <c r="C166" t="s">
        <v>95</v>
      </c>
      <c r="D166" t="s">
        <v>91</v>
      </c>
      <c r="E166">
        <v>2.17</v>
      </c>
      <c r="F166">
        <v>14</v>
      </c>
      <c r="I166">
        <v>6</v>
      </c>
      <c r="J166">
        <v>6</v>
      </c>
      <c r="K166" t="s">
        <v>95</v>
      </c>
      <c r="L166" t="s">
        <v>91</v>
      </c>
      <c r="M166">
        <v>1.0609999999999999</v>
      </c>
      <c r="N166">
        <v>24</v>
      </c>
      <c r="R166">
        <v>8</v>
      </c>
      <c r="S166">
        <v>6</v>
      </c>
      <c r="T166" t="s">
        <v>95</v>
      </c>
      <c r="U166" t="s">
        <v>91</v>
      </c>
      <c r="V166">
        <v>1.157</v>
      </c>
      <c r="W166">
        <v>25</v>
      </c>
    </row>
    <row r="167" spans="1:23" x14ac:dyDescent="0.3">
      <c r="E167"/>
      <c r="N167"/>
    </row>
    <row r="168" spans="1:23" x14ac:dyDescent="0.3">
      <c r="E168"/>
      <c r="N168"/>
    </row>
    <row r="169" spans="1:23" x14ac:dyDescent="0.3">
      <c r="E169"/>
      <c r="N169"/>
    </row>
    <row r="170" spans="1:23" x14ac:dyDescent="0.3">
      <c r="E170"/>
      <c r="N170"/>
    </row>
    <row r="171" spans="1:23" x14ac:dyDescent="0.3">
      <c r="E171"/>
      <c r="N171"/>
    </row>
    <row r="172" spans="1:23" x14ac:dyDescent="0.3">
      <c r="E172"/>
      <c r="N172"/>
    </row>
    <row r="173" spans="1:23" x14ac:dyDescent="0.3">
      <c r="E173"/>
      <c r="N173"/>
    </row>
    <row r="174" spans="1:23" x14ac:dyDescent="0.3">
      <c r="E174"/>
      <c r="N174"/>
    </row>
    <row r="175" spans="1:23" x14ac:dyDescent="0.3">
      <c r="E175"/>
      <c r="N175"/>
    </row>
    <row r="176" spans="1:23" x14ac:dyDescent="0.3">
      <c r="E176"/>
      <c r="N176"/>
    </row>
    <row r="177" spans="1:14" x14ac:dyDescent="0.3">
      <c r="E177"/>
      <c r="N177"/>
    </row>
    <row r="178" spans="1:14" x14ac:dyDescent="0.3">
      <c r="E178"/>
      <c r="N178"/>
    </row>
    <row r="179" spans="1:14" x14ac:dyDescent="0.3">
      <c r="E179"/>
      <c r="N179"/>
    </row>
    <row r="180" spans="1:14" x14ac:dyDescent="0.3">
      <c r="E180"/>
      <c r="N180"/>
    </row>
    <row r="182" spans="1:14" x14ac:dyDescent="0.3">
      <c r="A182" t="s">
        <v>159</v>
      </c>
    </row>
    <row r="183" spans="1:14" x14ac:dyDescent="0.3">
      <c r="A183" t="s">
        <v>78</v>
      </c>
      <c r="B183" t="s">
        <v>79</v>
      </c>
      <c r="C183" t="s">
        <v>80</v>
      </c>
      <c r="D183" t="s">
        <v>81</v>
      </c>
      <c r="E183" s="2" t="s">
        <v>116</v>
      </c>
      <c r="F183" t="s">
        <v>117</v>
      </c>
      <c r="G183" t="s">
        <v>118</v>
      </c>
      <c r="H183" t="s">
        <v>232</v>
      </c>
    </row>
    <row r="184" spans="1:14" x14ac:dyDescent="0.3">
      <c r="A184">
        <v>6</v>
      </c>
      <c r="B184">
        <v>63</v>
      </c>
      <c r="C184" t="s">
        <v>87</v>
      </c>
      <c r="D184" t="s">
        <v>86</v>
      </c>
      <c r="E184" t="s">
        <v>243</v>
      </c>
      <c r="F184" t="s">
        <v>244</v>
      </c>
      <c r="G184">
        <v>12.445</v>
      </c>
      <c r="H184">
        <f>Table_1__18[[#This Row],[Q3]]-G185</f>
        <v>0.39400000000000013</v>
      </c>
    </row>
    <row r="185" spans="1:14" x14ac:dyDescent="0.3">
      <c r="A185">
        <v>1</v>
      </c>
      <c r="B185">
        <v>12</v>
      </c>
      <c r="C185" t="s">
        <v>85</v>
      </c>
      <c r="D185" t="s">
        <v>86</v>
      </c>
      <c r="E185" t="s">
        <v>233</v>
      </c>
      <c r="F185" t="s">
        <v>234</v>
      </c>
      <c r="G185">
        <v>12.051</v>
      </c>
      <c r="H185">
        <f>Table_1__18[[#This Row],[Q3]]-G$185</f>
        <v>0</v>
      </c>
    </row>
    <row r="186" spans="1:14" x14ac:dyDescent="0.3">
      <c r="A186">
        <v>4</v>
      </c>
      <c r="B186">
        <v>16</v>
      </c>
      <c r="C186" t="s">
        <v>89</v>
      </c>
      <c r="D186" t="s">
        <v>28</v>
      </c>
      <c r="E186" t="s">
        <v>239</v>
      </c>
      <c r="F186" t="s">
        <v>240</v>
      </c>
      <c r="G186">
        <v>12.351000000000001</v>
      </c>
      <c r="H186">
        <f>Table_1__18[[#This Row],[Q3]]-G$185</f>
        <v>0.30000000000000071</v>
      </c>
    </row>
    <row r="187" spans="1:14" x14ac:dyDescent="0.3">
      <c r="A187">
        <v>3</v>
      </c>
      <c r="B187">
        <v>44</v>
      </c>
      <c r="C187" t="s">
        <v>88</v>
      </c>
      <c r="D187" t="s">
        <v>28</v>
      </c>
      <c r="E187" t="s">
        <v>237</v>
      </c>
      <c r="F187" t="s">
        <v>238</v>
      </c>
      <c r="G187">
        <v>12.279</v>
      </c>
      <c r="H187">
        <f>Table_1__18[[#This Row],[Q3]]-G$185</f>
        <v>0.22799999999999976</v>
      </c>
    </row>
    <row r="188" spans="1:14" x14ac:dyDescent="0.3">
      <c r="A188">
        <v>8</v>
      </c>
      <c r="B188">
        <v>1</v>
      </c>
      <c r="C188" t="s">
        <v>92</v>
      </c>
      <c r="D188" t="s">
        <v>29</v>
      </c>
      <c r="E188" t="s">
        <v>247</v>
      </c>
      <c r="F188" t="s">
        <v>248</v>
      </c>
      <c r="G188">
        <v>12.765000000000001</v>
      </c>
      <c r="H188">
        <f>Table_1__18[[#This Row],[Q3]]-G$185</f>
        <v>0.71400000000000041</v>
      </c>
    </row>
    <row r="189" spans="1:14" x14ac:dyDescent="0.3">
      <c r="A189">
        <v>7</v>
      </c>
      <c r="B189">
        <v>81</v>
      </c>
      <c r="C189" t="s">
        <v>84</v>
      </c>
      <c r="D189" t="s">
        <v>29</v>
      </c>
      <c r="E189" t="s">
        <v>245</v>
      </c>
      <c r="F189" t="s">
        <v>246</v>
      </c>
      <c r="G189">
        <v>12.624000000000001</v>
      </c>
      <c r="H189">
        <f>Table_1__18[[#This Row],[Q3]]-G$185</f>
        <v>0.5730000000000004</v>
      </c>
    </row>
    <row r="190" spans="1:14" x14ac:dyDescent="0.3">
      <c r="A190">
        <v>2</v>
      </c>
      <c r="B190">
        <v>3</v>
      </c>
      <c r="C190" t="s">
        <v>90</v>
      </c>
      <c r="D190" t="s">
        <v>91</v>
      </c>
      <c r="E190" t="s">
        <v>235</v>
      </c>
      <c r="F190" t="s">
        <v>236</v>
      </c>
      <c r="G190">
        <v>12.093999999999999</v>
      </c>
      <c r="H190">
        <f>Table_1__18[[#This Row],[Q3]]-G$185</f>
        <v>4.2999999999999261E-2</v>
      </c>
    </row>
    <row r="191" spans="1:14" x14ac:dyDescent="0.3">
      <c r="A191">
        <v>5</v>
      </c>
      <c r="B191">
        <v>6</v>
      </c>
      <c r="C191" t="s">
        <v>95</v>
      </c>
      <c r="D191" t="s">
        <v>91</v>
      </c>
      <c r="E191" t="s">
        <v>241</v>
      </c>
      <c r="F191" t="s">
        <v>242</v>
      </c>
      <c r="G191">
        <v>12.433999999999999</v>
      </c>
      <c r="H191">
        <f>Table_1__18[[#This Row],[Q3]]-G$185</f>
        <v>0.38299999999999912</v>
      </c>
    </row>
    <row r="192" spans="1:14" x14ac:dyDescent="0.3">
      <c r="E192"/>
    </row>
    <row r="193" spans="1:5" x14ac:dyDescent="0.3">
      <c r="E193"/>
    </row>
    <row r="194" spans="1:5" x14ac:dyDescent="0.3">
      <c r="E194"/>
    </row>
    <row r="195" spans="1:5" x14ac:dyDescent="0.3">
      <c r="E195"/>
    </row>
    <row r="196" spans="1:5" x14ac:dyDescent="0.3">
      <c r="E196"/>
    </row>
    <row r="197" spans="1:5" x14ac:dyDescent="0.3">
      <c r="E197"/>
    </row>
    <row r="198" spans="1:5" x14ac:dyDescent="0.3">
      <c r="E198"/>
    </row>
    <row r="199" spans="1:5" x14ac:dyDescent="0.3">
      <c r="E199"/>
    </row>
    <row r="200" spans="1:5" x14ac:dyDescent="0.3">
      <c r="E200"/>
    </row>
    <row r="201" spans="1:5" x14ac:dyDescent="0.3">
      <c r="E201"/>
    </row>
    <row r="202" spans="1:5" x14ac:dyDescent="0.3">
      <c r="E202"/>
    </row>
    <row r="203" spans="1:5" x14ac:dyDescent="0.3">
      <c r="E203"/>
    </row>
    <row r="204" spans="1:5" x14ac:dyDescent="0.3">
      <c r="E204"/>
    </row>
    <row r="205" spans="1:5" x14ac:dyDescent="0.3">
      <c r="E205"/>
    </row>
    <row r="208" spans="1:5" x14ac:dyDescent="0.3">
      <c r="A208" t="s">
        <v>249</v>
      </c>
    </row>
    <row r="209" spans="1:23" x14ac:dyDescent="0.3">
      <c r="A209" t="s">
        <v>156</v>
      </c>
      <c r="I209" t="s">
        <v>113</v>
      </c>
      <c r="R209" t="s">
        <v>114</v>
      </c>
    </row>
    <row r="210" spans="1:23" x14ac:dyDescent="0.3">
      <c r="A210" t="s">
        <v>78</v>
      </c>
      <c r="B210" t="s">
        <v>79</v>
      </c>
      <c r="C210" t="s">
        <v>80</v>
      </c>
      <c r="D210" t="s">
        <v>81</v>
      </c>
      <c r="E210" s="2" t="s">
        <v>82</v>
      </c>
      <c r="F210" t="s">
        <v>83</v>
      </c>
      <c r="I210" t="s">
        <v>78</v>
      </c>
      <c r="J210" t="s">
        <v>79</v>
      </c>
      <c r="K210" t="s">
        <v>80</v>
      </c>
      <c r="L210" t="s">
        <v>81</v>
      </c>
      <c r="M210" t="s">
        <v>82</v>
      </c>
      <c r="N210" s="2" t="s">
        <v>83</v>
      </c>
      <c r="R210" t="s">
        <v>78</v>
      </c>
      <c r="S210" t="s">
        <v>79</v>
      </c>
      <c r="T210" t="s">
        <v>80</v>
      </c>
      <c r="U210" t="s">
        <v>81</v>
      </c>
      <c r="V210" t="s">
        <v>82</v>
      </c>
      <c r="W210" t="s">
        <v>83</v>
      </c>
    </row>
    <row r="211" spans="1:23" x14ac:dyDescent="0.3">
      <c r="A211">
        <v>1</v>
      </c>
      <c r="B211">
        <v>63</v>
      </c>
      <c r="C211" t="s">
        <v>87</v>
      </c>
      <c r="D211" t="s">
        <v>86</v>
      </c>
      <c r="E211">
        <v>0</v>
      </c>
      <c r="F211">
        <v>27</v>
      </c>
      <c r="I211">
        <v>2</v>
      </c>
      <c r="J211">
        <v>63</v>
      </c>
      <c r="K211" t="s">
        <v>87</v>
      </c>
      <c r="L211" t="s">
        <v>86</v>
      </c>
      <c r="M211">
        <v>8.9999999999999993E-3</v>
      </c>
      <c r="N211">
        <v>28</v>
      </c>
      <c r="R211">
        <v>1</v>
      </c>
      <c r="S211">
        <v>63</v>
      </c>
      <c r="T211" t="s">
        <v>87</v>
      </c>
      <c r="U211" t="s">
        <v>86</v>
      </c>
      <c r="V211">
        <v>0</v>
      </c>
      <c r="W211">
        <v>11</v>
      </c>
    </row>
    <row r="212" spans="1:23" x14ac:dyDescent="0.3">
      <c r="A212">
        <v>3</v>
      </c>
      <c r="B212">
        <v>16</v>
      </c>
      <c r="C212" t="s">
        <v>89</v>
      </c>
      <c r="D212" t="s">
        <v>28</v>
      </c>
      <c r="E212">
        <v>0.52</v>
      </c>
      <c r="F212">
        <v>29</v>
      </c>
      <c r="I212">
        <v>5</v>
      </c>
      <c r="J212">
        <v>12</v>
      </c>
      <c r="K212" t="s">
        <v>85</v>
      </c>
      <c r="L212" t="s">
        <v>86</v>
      </c>
      <c r="M212">
        <v>0.58899999999999997</v>
      </c>
      <c r="N212">
        <v>31</v>
      </c>
      <c r="R212">
        <v>7</v>
      </c>
      <c r="S212">
        <v>12</v>
      </c>
      <c r="T212" t="s">
        <v>85</v>
      </c>
      <c r="U212" t="s">
        <v>86</v>
      </c>
      <c r="V212">
        <v>0.82099999999999995</v>
      </c>
      <c r="W212">
        <v>12</v>
      </c>
    </row>
    <row r="213" spans="1:23" x14ac:dyDescent="0.3">
      <c r="A213">
        <v>2</v>
      </c>
      <c r="B213">
        <v>81</v>
      </c>
      <c r="C213" t="s">
        <v>84</v>
      </c>
      <c r="D213" t="s">
        <v>29</v>
      </c>
      <c r="E213">
        <v>0.20300000000000001</v>
      </c>
      <c r="F213">
        <v>29</v>
      </c>
      <c r="I213">
        <v>4</v>
      </c>
      <c r="J213">
        <v>16</v>
      </c>
      <c r="K213" t="s">
        <v>89</v>
      </c>
      <c r="L213" t="s">
        <v>28</v>
      </c>
      <c r="M213">
        <v>0.373</v>
      </c>
      <c r="N213">
        <v>29</v>
      </c>
      <c r="R213">
        <v>3</v>
      </c>
      <c r="S213">
        <v>16</v>
      </c>
      <c r="T213" t="s">
        <v>89</v>
      </c>
      <c r="U213" t="s">
        <v>28</v>
      </c>
      <c r="V213">
        <v>0.24299999999999999</v>
      </c>
      <c r="W213">
        <v>17</v>
      </c>
    </row>
    <row r="214" spans="1:23" x14ac:dyDescent="0.3">
      <c r="A214">
        <v>4</v>
      </c>
      <c r="B214">
        <v>3</v>
      </c>
      <c r="C214" t="s">
        <v>90</v>
      </c>
      <c r="D214" t="s">
        <v>91</v>
      </c>
      <c r="E214">
        <v>0.68400000000000005</v>
      </c>
      <c r="F214">
        <v>29</v>
      </c>
      <c r="I214">
        <v>9</v>
      </c>
      <c r="J214">
        <v>44</v>
      </c>
      <c r="K214" t="s">
        <v>88</v>
      </c>
      <c r="L214" t="s">
        <v>28</v>
      </c>
      <c r="M214">
        <v>1.2050000000000001</v>
      </c>
      <c r="N214">
        <v>28</v>
      </c>
      <c r="R214">
        <v>5</v>
      </c>
      <c r="S214">
        <v>44</v>
      </c>
      <c r="T214" t="s">
        <v>88</v>
      </c>
      <c r="U214" t="s">
        <v>28</v>
      </c>
      <c r="V214">
        <v>0.70199999999999996</v>
      </c>
      <c r="W214">
        <v>16</v>
      </c>
    </row>
    <row r="215" spans="1:23" x14ac:dyDescent="0.3">
      <c r="A215">
        <v>12</v>
      </c>
      <c r="B215">
        <v>5</v>
      </c>
      <c r="C215" t="s">
        <v>101</v>
      </c>
      <c r="D215" t="s">
        <v>35</v>
      </c>
      <c r="E215">
        <v>1.8460000000000001</v>
      </c>
      <c r="F215">
        <v>28</v>
      </c>
      <c r="I215">
        <v>1</v>
      </c>
      <c r="J215">
        <v>1</v>
      </c>
      <c r="K215" t="s">
        <v>92</v>
      </c>
      <c r="L215" t="s">
        <v>29</v>
      </c>
      <c r="M215">
        <v>0</v>
      </c>
      <c r="N215">
        <v>30</v>
      </c>
      <c r="R215">
        <v>4</v>
      </c>
      <c r="S215">
        <v>1</v>
      </c>
      <c r="T215" t="s">
        <v>92</v>
      </c>
      <c r="U215" t="s">
        <v>29</v>
      </c>
      <c r="V215">
        <v>0.246</v>
      </c>
      <c r="W215">
        <v>15</v>
      </c>
    </row>
    <row r="216" spans="1:23" x14ac:dyDescent="0.3">
      <c r="A216">
        <v>17</v>
      </c>
      <c r="B216">
        <v>10</v>
      </c>
      <c r="C216" t="s">
        <v>103</v>
      </c>
      <c r="D216" t="s">
        <v>31</v>
      </c>
      <c r="E216">
        <v>2.145</v>
      </c>
      <c r="F216">
        <v>23</v>
      </c>
      <c r="I216">
        <v>3</v>
      </c>
      <c r="J216">
        <v>81</v>
      </c>
      <c r="K216" t="s">
        <v>84</v>
      </c>
      <c r="L216" t="s">
        <v>29</v>
      </c>
      <c r="M216">
        <v>5.7000000000000002E-2</v>
      </c>
      <c r="N216">
        <v>24</v>
      </c>
      <c r="R216">
        <v>2</v>
      </c>
      <c r="S216">
        <v>81</v>
      </c>
      <c r="T216" t="s">
        <v>84</v>
      </c>
      <c r="U216" t="s">
        <v>29</v>
      </c>
      <c r="V216">
        <v>0.214</v>
      </c>
      <c r="W216">
        <v>12</v>
      </c>
    </row>
    <row r="217" spans="1:23" x14ac:dyDescent="0.3">
      <c r="A217">
        <v>19</v>
      </c>
      <c r="B217">
        <v>14</v>
      </c>
      <c r="C217" t="s">
        <v>108</v>
      </c>
      <c r="D217" t="s">
        <v>109</v>
      </c>
      <c r="E217">
        <v>3.7040000000000002</v>
      </c>
      <c r="F217">
        <v>23</v>
      </c>
      <c r="I217">
        <v>6</v>
      </c>
      <c r="J217">
        <v>3</v>
      </c>
      <c r="K217" t="s">
        <v>90</v>
      </c>
      <c r="L217" t="s">
        <v>91</v>
      </c>
      <c r="M217">
        <v>0.89500000000000002</v>
      </c>
      <c r="N217">
        <v>33</v>
      </c>
      <c r="R217">
        <v>6</v>
      </c>
      <c r="S217">
        <v>3</v>
      </c>
      <c r="T217" t="s">
        <v>90</v>
      </c>
      <c r="U217" t="s">
        <v>91</v>
      </c>
      <c r="V217">
        <v>0.755</v>
      </c>
      <c r="W217">
        <v>12</v>
      </c>
    </row>
    <row r="218" spans="1:23" x14ac:dyDescent="0.3">
      <c r="A218">
        <v>20</v>
      </c>
      <c r="B218">
        <v>18</v>
      </c>
      <c r="C218" t="s">
        <v>110</v>
      </c>
      <c r="D218" t="s">
        <v>109</v>
      </c>
      <c r="E218">
        <v>3.9550000000000001</v>
      </c>
      <c r="F218">
        <v>21</v>
      </c>
      <c r="I218">
        <v>10</v>
      </c>
      <c r="J218">
        <v>6</v>
      </c>
      <c r="K218" t="s">
        <v>95</v>
      </c>
      <c r="L218" t="s">
        <v>91</v>
      </c>
      <c r="M218">
        <v>1.248</v>
      </c>
      <c r="N218">
        <v>30</v>
      </c>
      <c r="R218">
        <v>8</v>
      </c>
      <c r="S218">
        <v>6</v>
      </c>
      <c r="T218" t="s">
        <v>95</v>
      </c>
      <c r="U218" t="s">
        <v>91</v>
      </c>
      <c r="V218">
        <v>1.0049999999999999</v>
      </c>
      <c r="W218">
        <v>15</v>
      </c>
    </row>
    <row r="219" spans="1:23" x14ac:dyDescent="0.3">
      <c r="A219">
        <v>21</v>
      </c>
      <c r="B219">
        <v>25</v>
      </c>
      <c r="C219" t="s">
        <v>255</v>
      </c>
      <c r="D219" t="s">
        <v>107</v>
      </c>
      <c r="E219">
        <v>4.3339999999999996</v>
      </c>
      <c r="F219">
        <v>27</v>
      </c>
      <c r="N219"/>
    </row>
    <row r="220" spans="1:23" x14ac:dyDescent="0.3">
      <c r="A220">
        <v>7</v>
      </c>
      <c r="B220">
        <v>30</v>
      </c>
      <c r="C220" t="s">
        <v>100</v>
      </c>
      <c r="D220" t="s">
        <v>94</v>
      </c>
      <c r="E220">
        <v>1.109</v>
      </c>
      <c r="F220">
        <v>24</v>
      </c>
      <c r="N220"/>
    </row>
    <row r="221" spans="1:23" x14ac:dyDescent="0.3">
      <c r="A221">
        <v>16</v>
      </c>
      <c r="B221">
        <v>31</v>
      </c>
      <c r="C221" t="s">
        <v>96</v>
      </c>
      <c r="D221" t="s">
        <v>97</v>
      </c>
      <c r="E221">
        <v>2.0089999999999999</v>
      </c>
      <c r="F221">
        <v>27</v>
      </c>
      <c r="N221"/>
    </row>
    <row r="222" spans="1:23" x14ac:dyDescent="0.3">
      <c r="A222">
        <v>14</v>
      </c>
      <c r="B222">
        <v>36</v>
      </c>
      <c r="C222" t="s">
        <v>253</v>
      </c>
      <c r="D222" t="s">
        <v>91</v>
      </c>
      <c r="E222">
        <v>1.9350000000000001</v>
      </c>
      <c r="F222">
        <v>21</v>
      </c>
      <c r="N222"/>
    </row>
    <row r="223" spans="1:23" x14ac:dyDescent="0.3">
      <c r="A223">
        <v>8</v>
      </c>
      <c r="B223">
        <v>38</v>
      </c>
      <c r="C223" t="s">
        <v>252</v>
      </c>
      <c r="D223" t="s">
        <v>28</v>
      </c>
      <c r="E223">
        <v>1.415</v>
      </c>
      <c r="F223">
        <v>30</v>
      </c>
      <c r="N223"/>
    </row>
    <row r="224" spans="1:23" x14ac:dyDescent="0.3">
      <c r="A224">
        <v>9</v>
      </c>
      <c r="B224">
        <v>41</v>
      </c>
      <c r="C224" t="s">
        <v>93</v>
      </c>
      <c r="D224" t="s">
        <v>94</v>
      </c>
      <c r="E224">
        <v>1.4410000000000001</v>
      </c>
      <c r="F224">
        <v>29</v>
      </c>
      <c r="N224"/>
    </row>
    <row r="225" spans="1:14" x14ac:dyDescent="0.3">
      <c r="A225">
        <v>10</v>
      </c>
      <c r="B225">
        <v>43</v>
      </c>
      <c r="C225" t="s">
        <v>105</v>
      </c>
      <c r="D225" t="s">
        <v>31</v>
      </c>
      <c r="E225">
        <v>1.53</v>
      </c>
      <c r="F225">
        <v>28</v>
      </c>
      <c r="N225"/>
    </row>
    <row r="226" spans="1:14" x14ac:dyDescent="0.3">
      <c r="A226">
        <v>13</v>
      </c>
      <c r="B226">
        <v>55</v>
      </c>
      <c r="C226" t="s">
        <v>104</v>
      </c>
      <c r="D226" t="s">
        <v>34</v>
      </c>
      <c r="E226">
        <v>1.93</v>
      </c>
      <c r="F226">
        <v>27</v>
      </c>
      <c r="N226"/>
    </row>
    <row r="227" spans="1:14" x14ac:dyDescent="0.3">
      <c r="A227">
        <v>5</v>
      </c>
      <c r="B227">
        <v>67</v>
      </c>
      <c r="C227" t="s">
        <v>250</v>
      </c>
      <c r="D227" t="s">
        <v>29</v>
      </c>
      <c r="E227">
        <v>0.85299999999999998</v>
      </c>
      <c r="F227">
        <v>22</v>
      </c>
      <c r="N227"/>
    </row>
    <row r="228" spans="1:14" x14ac:dyDescent="0.3">
      <c r="A228">
        <v>15</v>
      </c>
      <c r="B228">
        <v>72</v>
      </c>
      <c r="C228" t="s">
        <v>254</v>
      </c>
      <c r="D228" t="s">
        <v>86</v>
      </c>
      <c r="E228">
        <v>2.0019999999999998</v>
      </c>
      <c r="F228">
        <v>28</v>
      </c>
      <c r="N228"/>
    </row>
    <row r="229" spans="1:14" x14ac:dyDescent="0.3">
      <c r="A229">
        <v>18</v>
      </c>
      <c r="B229">
        <v>77</v>
      </c>
      <c r="C229" t="s">
        <v>106</v>
      </c>
      <c r="D229" t="s">
        <v>107</v>
      </c>
      <c r="E229">
        <v>2.5510000000000002</v>
      </c>
      <c r="F229">
        <v>23</v>
      </c>
      <c r="N229"/>
    </row>
    <row r="230" spans="1:14" x14ac:dyDescent="0.3">
      <c r="A230">
        <v>11</v>
      </c>
      <c r="B230">
        <v>87</v>
      </c>
      <c r="C230" t="s">
        <v>98</v>
      </c>
      <c r="D230" t="s">
        <v>97</v>
      </c>
      <c r="E230">
        <v>1.8089999999999999</v>
      </c>
      <c r="F230">
        <v>25</v>
      </c>
      <c r="N230"/>
    </row>
    <row r="231" spans="1:14" x14ac:dyDescent="0.3">
      <c r="A231">
        <v>6</v>
      </c>
      <c r="B231">
        <v>97</v>
      </c>
      <c r="C231" t="s">
        <v>251</v>
      </c>
      <c r="D231" t="s">
        <v>35</v>
      </c>
      <c r="E231">
        <v>0.95799999999999996</v>
      </c>
      <c r="F231">
        <v>24</v>
      </c>
      <c r="N231"/>
    </row>
    <row r="232" spans="1:14" x14ac:dyDescent="0.3">
      <c r="N232"/>
    </row>
    <row r="236" spans="1:14" x14ac:dyDescent="0.3">
      <c r="A236" t="s">
        <v>159</v>
      </c>
    </row>
    <row r="237" spans="1:14" x14ac:dyDescent="0.3">
      <c r="A237" t="s">
        <v>78</v>
      </c>
      <c r="B237" t="s">
        <v>79</v>
      </c>
      <c r="C237" t="s">
        <v>80</v>
      </c>
      <c r="D237" t="s">
        <v>81</v>
      </c>
      <c r="E237" s="2" t="s">
        <v>116</v>
      </c>
      <c r="F237" t="s">
        <v>117</v>
      </c>
      <c r="G237" t="s">
        <v>118</v>
      </c>
      <c r="H237" t="s">
        <v>83</v>
      </c>
    </row>
    <row r="238" spans="1:14" x14ac:dyDescent="0.3">
      <c r="A238">
        <v>1</v>
      </c>
      <c r="B238">
        <v>63</v>
      </c>
      <c r="C238" t="s">
        <v>87</v>
      </c>
      <c r="D238" t="s">
        <v>86</v>
      </c>
      <c r="E238" t="s">
        <v>256</v>
      </c>
      <c r="F238" t="s">
        <v>257</v>
      </c>
      <c r="G238">
        <v>14.679</v>
      </c>
      <c r="H238">
        <f>Table_1__22[[#This Row],[Q3]]-G$238</f>
        <v>0</v>
      </c>
    </row>
    <row r="239" spans="1:14" x14ac:dyDescent="0.3">
      <c r="A239">
        <v>3</v>
      </c>
      <c r="B239">
        <v>12</v>
      </c>
      <c r="C239" t="s">
        <v>85</v>
      </c>
      <c r="D239" t="s">
        <v>86</v>
      </c>
      <c r="E239" t="s">
        <v>260</v>
      </c>
      <c r="F239" t="s">
        <v>261</v>
      </c>
      <c r="G239">
        <v>14.997999999999999</v>
      </c>
      <c r="H239">
        <f>Table_1__22[[#This Row],[Q3]]-G$238</f>
        <v>0.31899999999999906</v>
      </c>
    </row>
    <row r="240" spans="1:14" x14ac:dyDescent="0.3">
      <c r="A240">
        <v>10</v>
      </c>
      <c r="B240">
        <v>16</v>
      </c>
      <c r="C240" t="s">
        <v>89</v>
      </c>
      <c r="D240" t="s">
        <v>28</v>
      </c>
      <c r="E240" t="s">
        <v>269</v>
      </c>
      <c r="F240" t="s">
        <v>270</v>
      </c>
      <c r="G240">
        <v>40.999000000000002</v>
      </c>
      <c r="H240">
        <f>Table_1__22[[#This Row],[Q3]]-G$238</f>
        <v>26.32</v>
      </c>
    </row>
    <row r="241" spans="1:8" x14ac:dyDescent="0.3">
      <c r="A241">
        <v>2</v>
      </c>
      <c r="B241">
        <v>44</v>
      </c>
      <c r="C241" t="s">
        <v>88</v>
      </c>
      <c r="D241" t="s">
        <v>28</v>
      </c>
      <c r="E241" t="s">
        <v>258</v>
      </c>
      <c r="F241" t="s">
        <v>259</v>
      </c>
      <c r="G241">
        <v>14.743</v>
      </c>
      <c r="H241">
        <f>Table_1__22[[#This Row],[Q3]]-G$238</f>
        <v>6.4000000000000057E-2</v>
      </c>
    </row>
    <row r="242" spans="1:8" x14ac:dyDescent="0.3">
      <c r="A242">
        <v>4</v>
      </c>
      <c r="B242">
        <v>1</v>
      </c>
      <c r="C242" t="s">
        <v>92</v>
      </c>
      <c r="D242" t="s">
        <v>29</v>
      </c>
      <c r="E242" t="s">
        <v>262</v>
      </c>
      <c r="F242" t="s">
        <v>263</v>
      </c>
      <c r="G242">
        <v>15.000999999999999</v>
      </c>
      <c r="H242">
        <f>Table_1__22[[#This Row],[Q3]]-G$238</f>
        <v>0.32199999999999918</v>
      </c>
    </row>
    <row r="243" spans="1:8" x14ac:dyDescent="0.3">
      <c r="A243">
        <v>7</v>
      </c>
      <c r="B243">
        <v>81</v>
      </c>
      <c r="C243" t="s">
        <v>84</v>
      </c>
      <c r="D243" t="s">
        <v>29</v>
      </c>
      <c r="E243" t="s">
        <v>267</v>
      </c>
      <c r="F243" t="s">
        <v>268</v>
      </c>
      <c r="G243">
        <v>15.09</v>
      </c>
      <c r="H243">
        <f>Table_1__22[[#This Row],[Q3]]-G$238</f>
        <v>0.41099999999999959</v>
      </c>
    </row>
    <row r="244" spans="1:8" x14ac:dyDescent="0.3">
      <c r="A244">
        <v>5</v>
      </c>
      <c r="B244">
        <v>3</v>
      </c>
      <c r="C244" t="s">
        <v>90</v>
      </c>
      <c r="D244" t="s">
        <v>91</v>
      </c>
      <c r="E244" t="s">
        <v>264</v>
      </c>
      <c r="F244" t="s">
        <v>215</v>
      </c>
      <c r="G244">
        <v>15.021000000000001</v>
      </c>
      <c r="H244">
        <f>Table_1__22[[#This Row],[Q3]]-G$238</f>
        <v>0.34200000000000053</v>
      </c>
    </row>
    <row r="245" spans="1:8" x14ac:dyDescent="0.3">
      <c r="A245">
        <v>6</v>
      </c>
      <c r="B245">
        <v>6</v>
      </c>
      <c r="C245" t="s">
        <v>95</v>
      </c>
      <c r="D245" t="s">
        <v>91</v>
      </c>
      <c r="E245" t="s">
        <v>265</v>
      </c>
      <c r="F245" t="s">
        <v>266</v>
      </c>
      <c r="G245">
        <v>15.077</v>
      </c>
      <c r="H245">
        <f>Table_1__22[[#This Row],[Q3]]-G$238</f>
        <v>0.39799999999999969</v>
      </c>
    </row>
    <row r="246" spans="1:8" x14ac:dyDescent="0.3">
      <c r="E246"/>
    </row>
    <row r="247" spans="1:8" x14ac:dyDescent="0.3">
      <c r="E247"/>
    </row>
    <row r="248" spans="1:8" x14ac:dyDescent="0.3">
      <c r="E248"/>
    </row>
    <row r="249" spans="1:8" x14ac:dyDescent="0.3">
      <c r="E249"/>
    </row>
    <row r="250" spans="1:8" x14ac:dyDescent="0.3">
      <c r="E250"/>
    </row>
    <row r="251" spans="1:8" x14ac:dyDescent="0.3">
      <c r="E251"/>
    </row>
    <row r="252" spans="1:8" x14ac:dyDescent="0.3">
      <c r="E252"/>
    </row>
    <row r="253" spans="1:8" x14ac:dyDescent="0.3">
      <c r="E253"/>
    </row>
    <row r="254" spans="1:8" x14ac:dyDescent="0.3">
      <c r="E254"/>
    </row>
    <row r="255" spans="1:8" x14ac:dyDescent="0.3">
      <c r="E255"/>
    </row>
    <row r="256" spans="1:8" x14ac:dyDescent="0.3">
      <c r="E256"/>
    </row>
    <row r="257" spans="1:25" x14ac:dyDescent="0.3">
      <c r="E257"/>
    </row>
    <row r="258" spans="1:25" x14ac:dyDescent="0.3">
      <c r="E258"/>
    </row>
    <row r="259" spans="1:25" x14ac:dyDescent="0.3">
      <c r="E259"/>
    </row>
    <row r="261" spans="1:25" x14ac:dyDescent="0.3">
      <c r="A261" t="s">
        <v>271</v>
      </c>
    </row>
    <row r="262" spans="1:25" x14ac:dyDescent="0.3">
      <c r="A262" t="s">
        <v>156</v>
      </c>
      <c r="K262" t="s">
        <v>113</v>
      </c>
      <c r="T262" t="s">
        <v>114</v>
      </c>
    </row>
    <row r="263" spans="1:25" x14ac:dyDescent="0.3">
      <c r="A263" t="s">
        <v>78</v>
      </c>
      <c r="B263" t="s">
        <v>79</v>
      </c>
      <c r="C263" t="s">
        <v>80</v>
      </c>
      <c r="D263" t="s">
        <v>81</v>
      </c>
      <c r="E263" s="2" t="s">
        <v>82</v>
      </c>
      <c r="F263" t="s">
        <v>83</v>
      </c>
      <c r="K263" t="s">
        <v>78</v>
      </c>
      <c r="L263" t="s">
        <v>79</v>
      </c>
      <c r="M263" t="s">
        <v>80</v>
      </c>
      <c r="N263" s="2" t="s">
        <v>81</v>
      </c>
      <c r="O263" s="2" t="s">
        <v>82</v>
      </c>
      <c r="P263" t="s">
        <v>83</v>
      </c>
      <c r="T263" t="s">
        <v>78</v>
      </c>
      <c r="U263" t="s">
        <v>79</v>
      </c>
      <c r="V263" t="s">
        <v>80</v>
      </c>
      <c r="W263" t="s">
        <v>81</v>
      </c>
      <c r="X263" t="s">
        <v>82</v>
      </c>
      <c r="Y263" t="s">
        <v>83</v>
      </c>
    </row>
    <row r="264" spans="1:25" x14ac:dyDescent="0.3">
      <c r="A264">
        <v>2</v>
      </c>
      <c r="B264">
        <v>63</v>
      </c>
      <c r="C264" t="s">
        <v>87</v>
      </c>
      <c r="D264" t="s">
        <v>86</v>
      </c>
      <c r="E264">
        <v>0.04</v>
      </c>
      <c r="F264">
        <v>30</v>
      </c>
      <c r="K264">
        <v>6</v>
      </c>
      <c r="L264">
        <v>63</v>
      </c>
      <c r="M264" t="s">
        <v>87</v>
      </c>
      <c r="N264" t="s">
        <v>86</v>
      </c>
      <c r="O264">
        <v>0.623</v>
      </c>
      <c r="P264">
        <v>25</v>
      </c>
      <c r="T264">
        <v>1</v>
      </c>
      <c r="U264">
        <v>63</v>
      </c>
      <c r="V264" t="s">
        <v>87</v>
      </c>
      <c r="W264" t="s">
        <v>86</v>
      </c>
      <c r="X264">
        <v>0</v>
      </c>
      <c r="Y264">
        <v>19</v>
      </c>
    </row>
    <row r="265" spans="1:25" x14ac:dyDescent="0.3">
      <c r="A265">
        <v>1</v>
      </c>
      <c r="B265">
        <v>12</v>
      </c>
      <c r="C265" t="s">
        <v>85</v>
      </c>
      <c r="D265" t="s">
        <v>86</v>
      </c>
      <c r="E265">
        <v>0</v>
      </c>
      <c r="F265">
        <v>29</v>
      </c>
      <c r="K265">
        <v>1</v>
      </c>
      <c r="L265">
        <v>12</v>
      </c>
      <c r="M265" t="s">
        <v>85</v>
      </c>
      <c r="N265" t="s">
        <v>86</v>
      </c>
      <c r="O265">
        <v>0</v>
      </c>
      <c r="P265">
        <v>32</v>
      </c>
      <c r="T265">
        <v>2</v>
      </c>
      <c r="U265">
        <v>12</v>
      </c>
      <c r="V265" t="s">
        <v>85</v>
      </c>
      <c r="W265" t="s">
        <v>86</v>
      </c>
      <c r="X265">
        <v>3.7999999999999999E-2</v>
      </c>
      <c r="Y265">
        <v>17</v>
      </c>
    </row>
    <row r="266" spans="1:25" x14ac:dyDescent="0.3">
      <c r="A266">
        <v>5</v>
      </c>
      <c r="B266">
        <v>44</v>
      </c>
      <c r="C266" t="s">
        <v>88</v>
      </c>
      <c r="D266" t="s">
        <v>28</v>
      </c>
      <c r="E266">
        <v>0.66500000000000004</v>
      </c>
      <c r="F266">
        <v>25</v>
      </c>
      <c r="K266">
        <v>8</v>
      </c>
      <c r="L266">
        <v>16</v>
      </c>
      <c r="M266" t="s">
        <v>89</v>
      </c>
      <c r="N266" t="s">
        <v>28</v>
      </c>
      <c r="O266">
        <v>0.84099999999999997</v>
      </c>
      <c r="P266">
        <v>35</v>
      </c>
      <c r="T266">
        <v>7</v>
      </c>
      <c r="U266">
        <v>16</v>
      </c>
      <c r="V266" t="s">
        <v>89</v>
      </c>
      <c r="W266" t="s">
        <v>28</v>
      </c>
      <c r="X266">
        <v>0.35599999999999998</v>
      </c>
      <c r="Y266">
        <v>24</v>
      </c>
    </row>
    <row r="267" spans="1:25" x14ac:dyDescent="0.3">
      <c r="A267">
        <v>7</v>
      </c>
      <c r="B267">
        <v>1</v>
      </c>
      <c r="C267" t="s">
        <v>92</v>
      </c>
      <c r="D267" t="s">
        <v>29</v>
      </c>
      <c r="E267">
        <v>1.077</v>
      </c>
      <c r="F267">
        <v>9</v>
      </c>
      <c r="K267">
        <v>5</v>
      </c>
      <c r="L267">
        <v>44</v>
      </c>
      <c r="M267" t="s">
        <v>88</v>
      </c>
      <c r="N267" t="s">
        <v>28</v>
      </c>
      <c r="O267">
        <v>0.59699999999999998</v>
      </c>
      <c r="P267">
        <v>33</v>
      </c>
      <c r="T267">
        <v>3</v>
      </c>
      <c r="U267">
        <v>44</v>
      </c>
      <c r="V267" t="s">
        <v>88</v>
      </c>
      <c r="W267" t="s">
        <v>28</v>
      </c>
      <c r="X267">
        <v>0.115</v>
      </c>
      <c r="Y267">
        <v>22</v>
      </c>
    </row>
    <row r="268" spans="1:25" x14ac:dyDescent="0.3">
      <c r="A268">
        <v>3</v>
      </c>
      <c r="B268">
        <v>81</v>
      </c>
      <c r="C268" t="s">
        <v>84</v>
      </c>
      <c r="D268" t="s">
        <v>29</v>
      </c>
      <c r="E268">
        <v>0.11700000000000001</v>
      </c>
      <c r="F268">
        <v>26</v>
      </c>
      <c r="K268">
        <v>3</v>
      </c>
      <c r="L268">
        <v>1</v>
      </c>
      <c r="M268" t="s">
        <v>92</v>
      </c>
      <c r="N268" t="s">
        <v>29</v>
      </c>
      <c r="O268">
        <v>0.32500000000000001</v>
      </c>
      <c r="P268">
        <v>32</v>
      </c>
      <c r="T268">
        <v>5</v>
      </c>
      <c r="U268">
        <v>1</v>
      </c>
      <c r="V268" t="s">
        <v>92</v>
      </c>
      <c r="W268" t="s">
        <v>29</v>
      </c>
      <c r="X268">
        <v>0.26400000000000001</v>
      </c>
      <c r="Y268">
        <v>20</v>
      </c>
    </row>
    <row r="269" spans="1:25" x14ac:dyDescent="0.3">
      <c r="A269">
        <v>4</v>
      </c>
      <c r="B269">
        <v>3</v>
      </c>
      <c r="C269" t="s">
        <v>90</v>
      </c>
      <c r="D269" t="s">
        <v>91</v>
      </c>
      <c r="E269">
        <v>0.28100000000000003</v>
      </c>
      <c r="F269">
        <v>17</v>
      </c>
      <c r="K269">
        <v>2</v>
      </c>
      <c r="L269">
        <v>81</v>
      </c>
      <c r="M269" t="s">
        <v>84</v>
      </c>
      <c r="N269" t="s">
        <v>29</v>
      </c>
      <c r="O269">
        <v>0.23699999999999999</v>
      </c>
      <c r="P269">
        <v>32</v>
      </c>
      <c r="T269">
        <v>4</v>
      </c>
      <c r="U269">
        <v>81</v>
      </c>
      <c r="V269" t="s">
        <v>84</v>
      </c>
      <c r="W269" t="s">
        <v>29</v>
      </c>
      <c r="X269">
        <v>0.248</v>
      </c>
      <c r="Y269">
        <v>17</v>
      </c>
    </row>
    <row r="270" spans="1:25" x14ac:dyDescent="0.3">
      <c r="A270">
        <v>12</v>
      </c>
      <c r="B270">
        <v>6</v>
      </c>
      <c r="C270" t="s">
        <v>95</v>
      </c>
      <c r="D270" t="s">
        <v>91</v>
      </c>
      <c r="E270">
        <v>1.6850000000000001</v>
      </c>
      <c r="F270">
        <v>11</v>
      </c>
      <c r="K270">
        <v>4</v>
      </c>
      <c r="L270">
        <v>3</v>
      </c>
      <c r="M270" t="s">
        <v>90</v>
      </c>
      <c r="N270" t="s">
        <v>91</v>
      </c>
      <c r="O270">
        <v>0.55000000000000004</v>
      </c>
      <c r="P270">
        <v>29</v>
      </c>
      <c r="T270">
        <v>6</v>
      </c>
      <c r="U270">
        <v>3</v>
      </c>
      <c r="V270" t="s">
        <v>90</v>
      </c>
      <c r="W270" t="s">
        <v>91</v>
      </c>
      <c r="X270">
        <v>0.27300000000000002</v>
      </c>
      <c r="Y270">
        <v>16</v>
      </c>
    </row>
    <row r="271" spans="1:25" x14ac:dyDescent="0.3">
      <c r="E271"/>
      <c r="K271">
        <v>7</v>
      </c>
      <c r="L271">
        <v>6</v>
      </c>
      <c r="M271" t="s">
        <v>95</v>
      </c>
      <c r="N271" t="s">
        <v>91</v>
      </c>
      <c r="O271">
        <v>0.74399999999999999</v>
      </c>
      <c r="P271">
        <v>28</v>
      </c>
      <c r="T271">
        <v>8</v>
      </c>
      <c r="U271">
        <v>6</v>
      </c>
      <c r="V271" t="s">
        <v>95</v>
      </c>
      <c r="W271" t="s">
        <v>91</v>
      </c>
      <c r="X271">
        <v>0.81599999999999995</v>
      </c>
      <c r="Y271">
        <v>27</v>
      </c>
    </row>
    <row r="272" spans="1:25" x14ac:dyDescent="0.3">
      <c r="E272"/>
      <c r="N272"/>
      <c r="O272"/>
    </row>
    <row r="273" spans="1:15" x14ac:dyDescent="0.3">
      <c r="E273"/>
      <c r="N273"/>
      <c r="O273"/>
    </row>
    <row r="274" spans="1:15" x14ac:dyDescent="0.3">
      <c r="E274"/>
      <c r="N274"/>
      <c r="O274"/>
    </row>
    <row r="275" spans="1:15" x14ac:dyDescent="0.3">
      <c r="E275"/>
      <c r="N275"/>
      <c r="O275"/>
    </row>
    <row r="276" spans="1:15" x14ac:dyDescent="0.3">
      <c r="E276"/>
      <c r="N276"/>
      <c r="O276"/>
    </row>
    <row r="277" spans="1:15" x14ac:dyDescent="0.3">
      <c r="E277"/>
      <c r="N277"/>
      <c r="O277"/>
    </row>
    <row r="278" spans="1:15" x14ac:dyDescent="0.3">
      <c r="E278"/>
      <c r="N278"/>
      <c r="O278"/>
    </row>
    <row r="279" spans="1:15" x14ac:dyDescent="0.3">
      <c r="E279"/>
      <c r="N279"/>
      <c r="O279"/>
    </row>
    <row r="280" spans="1:15" x14ac:dyDescent="0.3">
      <c r="E280"/>
      <c r="N280"/>
      <c r="O280"/>
    </row>
    <row r="281" spans="1:15" x14ac:dyDescent="0.3">
      <c r="E281"/>
      <c r="N281"/>
      <c r="O281"/>
    </row>
    <row r="282" spans="1:15" x14ac:dyDescent="0.3">
      <c r="E282"/>
      <c r="N282"/>
      <c r="O282"/>
    </row>
    <row r="283" spans="1:15" x14ac:dyDescent="0.3">
      <c r="E283"/>
      <c r="N283"/>
      <c r="O283"/>
    </row>
    <row r="284" spans="1:15" x14ac:dyDescent="0.3">
      <c r="E284"/>
      <c r="N284"/>
      <c r="O284"/>
    </row>
    <row r="285" spans="1:15" x14ac:dyDescent="0.3">
      <c r="E285"/>
      <c r="N285"/>
      <c r="O285"/>
    </row>
    <row r="288" spans="1:15" x14ac:dyDescent="0.3">
      <c r="A288" t="s">
        <v>78</v>
      </c>
      <c r="B288" t="s">
        <v>79</v>
      </c>
      <c r="C288" t="s">
        <v>80</v>
      </c>
      <c r="D288" t="s">
        <v>81</v>
      </c>
      <c r="E288" s="2" t="s">
        <v>116</v>
      </c>
      <c r="F288" t="s">
        <v>117</v>
      </c>
      <c r="G288" t="s">
        <v>118</v>
      </c>
      <c r="H288" t="s">
        <v>157</v>
      </c>
    </row>
    <row r="289" spans="1:8" x14ac:dyDescent="0.3">
      <c r="A289">
        <v>1</v>
      </c>
      <c r="B289">
        <v>63</v>
      </c>
      <c r="C289" t="s">
        <v>87</v>
      </c>
      <c r="D289" t="s">
        <v>86</v>
      </c>
      <c r="E289" t="s">
        <v>272</v>
      </c>
      <c r="F289" t="s">
        <v>273</v>
      </c>
      <c r="G289">
        <v>6.1130000000000004</v>
      </c>
      <c r="H289">
        <v>0</v>
      </c>
    </row>
    <row r="290" spans="1:8" x14ac:dyDescent="0.3">
      <c r="A290">
        <v>4</v>
      </c>
      <c r="B290">
        <v>12</v>
      </c>
      <c r="C290" t="s">
        <v>85</v>
      </c>
      <c r="D290" t="s">
        <v>86</v>
      </c>
      <c r="E290" t="s">
        <v>278</v>
      </c>
      <c r="F290" t="s">
        <v>279</v>
      </c>
      <c r="G290">
        <v>6.4139999999999997</v>
      </c>
      <c r="H290">
        <f>Table_1__26[[#This Row],[Q3]]-$G$289</f>
        <v>0.30099999999999927</v>
      </c>
    </row>
    <row r="291" spans="1:8" x14ac:dyDescent="0.3">
      <c r="A291">
        <v>2</v>
      </c>
      <c r="B291">
        <v>16</v>
      </c>
      <c r="C291" t="s">
        <v>89</v>
      </c>
      <c r="D291" t="s">
        <v>28</v>
      </c>
      <c r="E291" t="s">
        <v>274</v>
      </c>
      <c r="F291" t="s">
        <v>275</v>
      </c>
      <c r="G291">
        <v>6.3490000000000002</v>
      </c>
      <c r="H291">
        <f>Table_1__26[[#This Row],[Q3]]-$G$289</f>
        <v>0.23599999999999977</v>
      </c>
    </row>
    <row r="292" spans="1:8" x14ac:dyDescent="0.3">
      <c r="A292">
        <v>3</v>
      </c>
      <c r="B292">
        <v>44</v>
      </c>
      <c r="C292" t="s">
        <v>88</v>
      </c>
      <c r="D292" t="s">
        <v>28</v>
      </c>
      <c r="E292" t="s">
        <v>276</v>
      </c>
      <c r="F292" t="s">
        <v>277</v>
      </c>
      <c r="G292">
        <v>6.4080000000000004</v>
      </c>
      <c r="H292">
        <f>Table_1__26[[#This Row],[Q3]]-$G$289</f>
        <v>0.29499999999999993</v>
      </c>
    </row>
    <row r="293" spans="1:8" x14ac:dyDescent="0.3">
      <c r="A293">
        <v>6</v>
      </c>
      <c r="B293">
        <v>1</v>
      </c>
      <c r="C293" t="s">
        <v>92</v>
      </c>
      <c r="D293" t="s">
        <v>29</v>
      </c>
      <c r="E293" t="s">
        <v>282</v>
      </c>
      <c r="F293" t="s">
        <v>283</v>
      </c>
      <c r="G293">
        <v>6.5019999999999998</v>
      </c>
      <c r="H293">
        <f>Table_1__26[[#This Row],[Q3]]-$G$289</f>
        <v>0.38899999999999935</v>
      </c>
    </row>
    <row r="294" spans="1:8" x14ac:dyDescent="0.3">
      <c r="A294">
        <v>7</v>
      </c>
      <c r="B294">
        <v>81</v>
      </c>
      <c r="C294" t="s">
        <v>84</v>
      </c>
      <c r="D294" t="s">
        <v>29</v>
      </c>
      <c r="E294" t="s">
        <v>284</v>
      </c>
      <c r="F294" t="s">
        <v>285</v>
      </c>
      <c r="G294">
        <v>6.5110000000000001</v>
      </c>
      <c r="H294">
        <f>Table_1__26[[#This Row],[Q3]]-$G$289</f>
        <v>0.39799999999999969</v>
      </c>
    </row>
    <row r="295" spans="1:8" x14ac:dyDescent="0.3">
      <c r="A295">
        <v>5</v>
      </c>
      <c r="B295">
        <v>3</v>
      </c>
      <c r="C295" t="s">
        <v>90</v>
      </c>
      <c r="D295" t="s">
        <v>91</v>
      </c>
      <c r="E295" t="s">
        <v>280</v>
      </c>
      <c r="F295" t="s">
        <v>281</v>
      </c>
      <c r="G295">
        <v>6.4749999999999996</v>
      </c>
      <c r="H295">
        <f>Table_1__26[[#This Row],[Q3]]-$G$289</f>
        <v>0.36199999999999921</v>
      </c>
    </row>
    <row r="296" spans="1:8" x14ac:dyDescent="0.3">
      <c r="A296">
        <v>8</v>
      </c>
      <c r="B296">
        <v>6</v>
      </c>
      <c r="C296" t="s">
        <v>95</v>
      </c>
      <c r="D296" t="s">
        <v>91</v>
      </c>
      <c r="E296" t="s">
        <v>286</v>
      </c>
      <c r="F296" t="s">
        <v>287</v>
      </c>
      <c r="G296">
        <v>6.6319999999999997</v>
      </c>
      <c r="H296">
        <f>Table_1__26[[#This Row],[Q3]]-$G$289</f>
        <v>0.51899999999999924</v>
      </c>
    </row>
    <row r="297" spans="1:8" x14ac:dyDescent="0.3">
      <c r="E297"/>
    </row>
    <row r="298" spans="1:8" x14ac:dyDescent="0.3">
      <c r="E298"/>
    </row>
    <row r="299" spans="1:8" x14ac:dyDescent="0.3">
      <c r="E299"/>
    </row>
    <row r="300" spans="1:8" x14ac:dyDescent="0.3">
      <c r="E300"/>
    </row>
    <row r="301" spans="1:8" x14ac:dyDescent="0.3">
      <c r="E301"/>
    </row>
    <row r="302" spans="1:8" x14ac:dyDescent="0.3">
      <c r="E302"/>
    </row>
    <row r="303" spans="1:8" x14ac:dyDescent="0.3">
      <c r="E303"/>
    </row>
    <row r="304" spans="1:8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</sheetData>
  <phoneticPr fontId="1" type="noConversion"/>
  <pageMargins left="0.7" right="0.7" top="0.75" bottom="0.75" header="0.3" footer="0.3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FF86-71ED-434F-BC02-84A9F7B6FAAB}">
  <sheetPr filterMode="1"/>
  <dimension ref="A1:AC65"/>
  <sheetViews>
    <sheetView topLeftCell="B1" workbookViewId="0">
      <selection activeCell="V58" sqref="V58:AC65"/>
    </sheetView>
  </sheetViews>
  <sheetFormatPr defaultRowHeight="14.4" x14ac:dyDescent="0.3"/>
  <sheetData>
    <row r="1" spans="1:29" x14ac:dyDescent="0.3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152</v>
      </c>
      <c r="Z1" t="s">
        <v>153</v>
      </c>
      <c r="AA1" t="s">
        <v>154</v>
      </c>
      <c r="AB1" t="s">
        <v>23</v>
      </c>
      <c r="AC1" t="s">
        <v>24</v>
      </c>
    </row>
    <row r="2" spans="1:29" hidden="1" x14ac:dyDescent="0.3">
      <c r="A2">
        <v>1</v>
      </c>
      <c r="B2">
        <v>63</v>
      </c>
      <c r="C2">
        <v>1</v>
      </c>
      <c r="D2">
        <v>1</v>
      </c>
      <c r="E2">
        <v>10</v>
      </c>
      <c r="F2">
        <v>10</v>
      </c>
      <c r="G2">
        <v>10</v>
      </c>
      <c r="H2">
        <v>10</v>
      </c>
      <c r="I2">
        <v>0</v>
      </c>
      <c r="J2">
        <v>1</v>
      </c>
      <c r="K2">
        <v>1</v>
      </c>
      <c r="L2">
        <v>0</v>
      </c>
      <c r="M2">
        <v>22</v>
      </c>
      <c r="N2">
        <v>22</v>
      </c>
      <c r="O2">
        <v>8</v>
      </c>
      <c r="P2">
        <v>6.5</v>
      </c>
      <c r="Q2">
        <v>1</v>
      </c>
      <c r="R2">
        <v>3</v>
      </c>
      <c r="S2">
        <v>0</v>
      </c>
      <c r="T2">
        <v>0</v>
      </c>
      <c r="U2">
        <v>0</v>
      </c>
      <c r="V2">
        <v>1.1040000000000001</v>
      </c>
      <c r="W2">
        <v>0.32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</row>
    <row r="3" spans="1:29" hidden="1" x14ac:dyDescent="0.3">
      <c r="A3">
        <v>1</v>
      </c>
      <c r="B3">
        <v>12</v>
      </c>
      <c r="C3">
        <v>1</v>
      </c>
      <c r="D3">
        <v>1</v>
      </c>
      <c r="E3">
        <v>10</v>
      </c>
      <c r="F3">
        <v>10</v>
      </c>
      <c r="G3">
        <v>10</v>
      </c>
      <c r="H3">
        <v>10</v>
      </c>
      <c r="I3">
        <v>0</v>
      </c>
      <c r="J3">
        <v>1</v>
      </c>
      <c r="K3">
        <v>1</v>
      </c>
      <c r="L3">
        <v>0</v>
      </c>
      <c r="M3">
        <v>22</v>
      </c>
      <c r="N3">
        <v>22</v>
      </c>
      <c r="O3">
        <v>3</v>
      </c>
      <c r="P3">
        <v>9</v>
      </c>
      <c r="Q3">
        <v>0</v>
      </c>
      <c r="R3">
        <v>1</v>
      </c>
      <c r="S3">
        <v>0</v>
      </c>
      <c r="T3">
        <v>0</v>
      </c>
      <c r="U3">
        <v>0</v>
      </c>
      <c r="V3">
        <v>1.109</v>
      </c>
      <c r="W3">
        <v>0.214</v>
      </c>
      <c r="X3">
        <v>1.2709999999999999</v>
      </c>
      <c r="Y3">
        <v>0</v>
      </c>
      <c r="Z3">
        <v>0</v>
      </c>
      <c r="AA3">
        <v>0</v>
      </c>
      <c r="AB3">
        <v>0.29299999999999926</v>
      </c>
      <c r="AC3">
        <v>0</v>
      </c>
    </row>
    <row r="4" spans="1:29" hidden="1" x14ac:dyDescent="0.3">
      <c r="A4">
        <v>1</v>
      </c>
      <c r="B4">
        <v>16</v>
      </c>
      <c r="C4">
        <v>2</v>
      </c>
      <c r="D4">
        <v>2</v>
      </c>
      <c r="E4">
        <v>10</v>
      </c>
      <c r="F4">
        <v>10</v>
      </c>
      <c r="G4">
        <v>10</v>
      </c>
      <c r="H4">
        <v>10</v>
      </c>
      <c r="I4">
        <v>0</v>
      </c>
      <c r="J4">
        <v>1</v>
      </c>
      <c r="K4">
        <v>1</v>
      </c>
      <c r="L4">
        <v>0</v>
      </c>
      <c r="M4">
        <v>22</v>
      </c>
      <c r="N4">
        <v>22</v>
      </c>
      <c r="O4">
        <v>5.33</v>
      </c>
      <c r="P4">
        <v>6.57</v>
      </c>
      <c r="Q4">
        <v>1</v>
      </c>
      <c r="R4">
        <v>3</v>
      </c>
      <c r="S4">
        <v>0</v>
      </c>
      <c r="T4">
        <v>0</v>
      </c>
      <c r="U4">
        <v>0</v>
      </c>
      <c r="V4">
        <v>0</v>
      </c>
      <c r="W4">
        <v>0.56200000000000006</v>
      </c>
      <c r="X4">
        <v>0.77400000000000002</v>
      </c>
      <c r="Y4">
        <v>0</v>
      </c>
      <c r="Z4">
        <v>0</v>
      </c>
      <c r="AA4">
        <v>0</v>
      </c>
      <c r="AB4">
        <v>0.80900000000000105</v>
      </c>
      <c r="AC4">
        <v>0</v>
      </c>
    </row>
    <row r="5" spans="1:29" hidden="1" x14ac:dyDescent="0.3">
      <c r="A5">
        <v>1</v>
      </c>
      <c r="B5">
        <v>44</v>
      </c>
      <c r="C5">
        <v>2</v>
      </c>
      <c r="D5">
        <v>2</v>
      </c>
      <c r="E5">
        <v>10</v>
      </c>
      <c r="F5">
        <v>10</v>
      </c>
      <c r="G5">
        <v>10</v>
      </c>
      <c r="H5">
        <v>10</v>
      </c>
      <c r="I5">
        <v>0</v>
      </c>
      <c r="J5">
        <v>1</v>
      </c>
      <c r="K5">
        <v>1</v>
      </c>
      <c r="L5">
        <v>0</v>
      </c>
      <c r="M5">
        <v>22</v>
      </c>
      <c r="N5">
        <v>22</v>
      </c>
      <c r="O5">
        <v>3.27</v>
      </c>
      <c r="P5">
        <v>4.4400000000000004</v>
      </c>
      <c r="Q5">
        <v>2</v>
      </c>
      <c r="R5">
        <v>10</v>
      </c>
      <c r="S5">
        <v>0</v>
      </c>
      <c r="T5">
        <v>0</v>
      </c>
      <c r="U5">
        <v>0</v>
      </c>
      <c r="V5">
        <v>0.46899999999999997</v>
      </c>
      <c r="W5">
        <v>0.32100000000000001</v>
      </c>
      <c r="X5">
        <v>0.61599999999999999</v>
      </c>
      <c r="Y5">
        <v>0</v>
      </c>
      <c r="Z5">
        <v>0</v>
      </c>
      <c r="AA5">
        <v>0</v>
      </c>
      <c r="AB5">
        <v>0.96000000000000085</v>
      </c>
      <c r="AC5">
        <v>0</v>
      </c>
    </row>
    <row r="6" spans="1:29" hidden="1" x14ac:dyDescent="0.3">
      <c r="A6">
        <v>1</v>
      </c>
      <c r="B6">
        <v>1</v>
      </c>
      <c r="C6">
        <v>3</v>
      </c>
      <c r="D6">
        <v>1</v>
      </c>
      <c r="E6">
        <v>10</v>
      </c>
      <c r="F6">
        <v>10</v>
      </c>
      <c r="G6">
        <v>10</v>
      </c>
      <c r="H6">
        <v>10</v>
      </c>
      <c r="I6">
        <v>0</v>
      </c>
      <c r="J6">
        <v>1</v>
      </c>
      <c r="K6">
        <v>1</v>
      </c>
      <c r="L6">
        <v>0</v>
      </c>
      <c r="M6">
        <v>22</v>
      </c>
      <c r="N6">
        <v>22</v>
      </c>
      <c r="O6">
        <v>5.33</v>
      </c>
      <c r="P6">
        <v>5.83</v>
      </c>
      <c r="Q6">
        <v>1</v>
      </c>
      <c r="R6">
        <v>2</v>
      </c>
      <c r="S6">
        <v>0</v>
      </c>
      <c r="T6">
        <v>0</v>
      </c>
      <c r="U6">
        <v>0</v>
      </c>
      <c r="V6">
        <v>4.1239999999999997</v>
      </c>
      <c r="W6">
        <v>1.0649999999999999</v>
      </c>
      <c r="X6">
        <v>1.39</v>
      </c>
      <c r="Y6">
        <v>0</v>
      </c>
      <c r="Z6">
        <v>0</v>
      </c>
      <c r="AA6">
        <v>0</v>
      </c>
      <c r="AB6">
        <v>0.95700000000000074</v>
      </c>
      <c r="AC6">
        <v>0</v>
      </c>
    </row>
    <row r="7" spans="1:29" hidden="1" x14ac:dyDescent="0.3">
      <c r="A7">
        <v>1</v>
      </c>
      <c r="B7">
        <v>81</v>
      </c>
      <c r="C7">
        <v>3</v>
      </c>
      <c r="D7">
        <v>1</v>
      </c>
      <c r="E7">
        <v>10</v>
      </c>
      <c r="F7">
        <v>10</v>
      </c>
      <c r="G7">
        <v>10</v>
      </c>
      <c r="H7">
        <v>10</v>
      </c>
      <c r="I7">
        <v>0</v>
      </c>
      <c r="J7">
        <v>1</v>
      </c>
      <c r="K7">
        <v>1</v>
      </c>
      <c r="L7">
        <v>0</v>
      </c>
      <c r="M7">
        <v>22</v>
      </c>
      <c r="N7">
        <v>22</v>
      </c>
      <c r="O7">
        <v>7</v>
      </c>
      <c r="P7">
        <v>7</v>
      </c>
      <c r="Q7">
        <v>0</v>
      </c>
      <c r="R7">
        <v>0</v>
      </c>
      <c r="S7">
        <v>0</v>
      </c>
      <c r="T7">
        <v>0</v>
      </c>
      <c r="U7">
        <v>0</v>
      </c>
      <c r="V7">
        <v>1.046</v>
      </c>
      <c r="W7">
        <v>0</v>
      </c>
      <c r="X7">
        <v>1.034</v>
      </c>
      <c r="Y7">
        <v>0</v>
      </c>
      <c r="Z7">
        <v>0</v>
      </c>
      <c r="AA7">
        <v>0</v>
      </c>
      <c r="AB7">
        <v>0.86199999999999832</v>
      </c>
      <c r="AC7">
        <v>0</v>
      </c>
    </row>
    <row r="8" spans="1:29" hidden="1" x14ac:dyDescent="0.3">
      <c r="A8">
        <v>1</v>
      </c>
      <c r="B8">
        <v>3</v>
      </c>
      <c r="C8">
        <v>4</v>
      </c>
      <c r="D8">
        <v>3</v>
      </c>
      <c r="E8">
        <v>10</v>
      </c>
      <c r="F8">
        <v>10</v>
      </c>
      <c r="G8">
        <v>10</v>
      </c>
      <c r="H8">
        <v>10</v>
      </c>
      <c r="I8">
        <v>0</v>
      </c>
      <c r="J8">
        <v>1</v>
      </c>
      <c r="K8">
        <v>1</v>
      </c>
      <c r="L8">
        <v>0</v>
      </c>
      <c r="M8">
        <v>22</v>
      </c>
      <c r="N8">
        <v>22</v>
      </c>
      <c r="O8">
        <v>4.71</v>
      </c>
      <c r="P8">
        <v>5.6</v>
      </c>
      <c r="Q8">
        <v>1</v>
      </c>
      <c r="R8">
        <v>3</v>
      </c>
      <c r="S8">
        <v>0</v>
      </c>
      <c r="T8">
        <v>0</v>
      </c>
      <c r="U8">
        <v>0</v>
      </c>
      <c r="V8">
        <v>0.52200000000000002</v>
      </c>
      <c r="W8">
        <v>0.63700000000000001</v>
      </c>
      <c r="X8">
        <v>1.1439999999999999</v>
      </c>
      <c r="Y8">
        <v>0</v>
      </c>
      <c r="Z8">
        <v>0</v>
      </c>
      <c r="AA8">
        <v>0</v>
      </c>
      <c r="AB8">
        <v>41.481000000000002</v>
      </c>
      <c r="AC8">
        <v>0</v>
      </c>
    </row>
    <row r="9" spans="1:29" hidden="1" x14ac:dyDescent="0.3">
      <c r="A9">
        <v>1</v>
      </c>
      <c r="B9">
        <v>6</v>
      </c>
      <c r="C9">
        <v>4</v>
      </c>
      <c r="D9">
        <v>3</v>
      </c>
      <c r="E9">
        <v>10</v>
      </c>
      <c r="F9">
        <v>10</v>
      </c>
      <c r="G9">
        <v>10</v>
      </c>
      <c r="H9">
        <v>10</v>
      </c>
      <c r="I9">
        <v>0</v>
      </c>
      <c r="J9">
        <v>1</v>
      </c>
      <c r="K9">
        <v>1</v>
      </c>
      <c r="L9">
        <v>0</v>
      </c>
      <c r="M9">
        <v>22</v>
      </c>
      <c r="N9">
        <v>22</v>
      </c>
      <c r="O9">
        <v>7</v>
      </c>
      <c r="P9">
        <v>20</v>
      </c>
      <c r="Q9">
        <v>0</v>
      </c>
      <c r="R9">
        <v>0</v>
      </c>
      <c r="S9">
        <v>0</v>
      </c>
      <c r="T9">
        <v>0</v>
      </c>
      <c r="U9">
        <v>0</v>
      </c>
      <c r="V9">
        <v>0.82</v>
      </c>
      <c r="W9">
        <v>1.212</v>
      </c>
      <c r="X9">
        <v>1.0840000000000001</v>
      </c>
      <c r="Y9">
        <v>0</v>
      </c>
      <c r="Z9">
        <v>0</v>
      </c>
      <c r="AA9">
        <v>0</v>
      </c>
      <c r="AB9">
        <v>0.78500000000000014</v>
      </c>
      <c r="AC9">
        <v>0</v>
      </c>
    </row>
    <row r="10" spans="1:29" hidden="1" x14ac:dyDescent="0.3">
      <c r="A10">
        <v>2</v>
      </c>
      <c r="B10">
        <v>63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25</v>
      </c>
      <c r="J10">
        <v>1</v>
      </c>
      <c r="K10">
        <v>1</v>
      </c>
      <c r="L10">
        <v>43</v>
      </c>
      <c r="M10">
        <v>1.5</v>
      </c>
      <c r="N10">
        <v>1.5</v>
      </c>
      <c r="O10">
        <v>6.75</v>
      </c>
      <c r="P10">
        <v>7.25</v>
      </c>
      <c r="Q10">
        <v>0</v>
      </c>
      <c r="R10">
        <v>1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  <c r="AB10">
        <v>0.222</v>
      </c>
      <c r="AC10">
        <v>0</v>
      </c>
    </row>
    <row r="11" spans="1:29" hidden="1" x14ac:dyDescent="0.3">
      <c r="A11">
        <v>2</v>
      </c>
      <c r="B11">
        <v>12</v>
      </c>
      <c r="C11">
        <v>1</v>
      </c>
      <c r="D11">
        <v>1</v>
      </c>
      <c r="E11">
        <v>2</v>
      </c>
      <c r="F11">
        <v>2</v>
      </c>
      <c r="G11">
        <v>2</v>
      </c>
      <c r="H11">
        <v>2</v>
      </c>
      <c r="I11">
        <v>18</v>
      </c>
      <c r="J11">
        <v>2</v>
      </c>
      <c r="K11">
        <v>1</v>
      </c>
      <c r="L11">
        <v>43</v>
      </c>
      <c r="M11">
        <v>1.5</v>
      </c>
      <c r="N11">
        <v>1.5</v>
      </c>
      <c r="O11">
        <v>3.5</v>
      </c>
      <c r="P11">
        <v>4.5</v>
      </c>
      <c r="Q11">
        <v>0</v>
      </c>
      <c r="R11">
        <v>0</v>
      </c>
      <c r="S11">
        <v>0</v>
      </c>
      <c r="T11">
        <v>0</v>
      </c>
      <c r="U11">
        <v>2</v>
      </c>
      <c r="V11">
        <v>0.12</v>
      </c>
      <c r="W11">
        <v>0</v>
      </c>
      <c r="X11">
        <v>0</v>
      </c>
      <c r="Y11">
        <v>1</v>
      </c>
      <c r="Z11">
        <v>0.28899999999999998</v>
      </c>
      <c r="AA11">
        <v>5</v>
      </c>
      <c r="AB11">
        <v>0</v>
      </c>
      <c r="AC11">
        <v>1</v>
      </c>
    </row>
    <row r="12" spans="1:29" hidden="1" x14ac:dyDescent="0.3">
      <c r="A12">
        <v>2</v>
      </c>
      <c r="B12">
        <v>16</v>
      </c>
      <c r="C12">
        <v>2</v>
      </c>
      <c r="D12">
        <v>2</v>
      </c>
      <c r="E12">
        <v>3</v>
      </c>
      <c r="F12">
        <v>4</v>
      </c>
      <c r="G12">
        <v>3</v>
      </c>
      <c r="H12">
        <v>4</v>
      </c>
      <c r="I12">
        <v>15</v>
      </c>
      <c r="J12">
        <v>3</v>
      </c>
      <c r="K12">
        <v>2</v>
      </c>
      <c r="L12">
        <v>27</v>
      </c>
      <c r="M12">
        <v>3.5</v>
      </c>
      <c r="N12">
        <v>5.5</v>
      </c>
      <c r="O12">
        <v>8</v>
      </c>
      <c r="P12">
        <v>7.8</v>
      </c>
      <c r="Q12">
        <v>0</v>
      </c>
      <c r="R12">
        <v>0</v>
      </c>
      <c r="S12">
        <v>0</v>
      </c>
      <c r="T12">
        <v>0</v>
      </c>
      <c r="U12">
        <v>1</v>
      </c>
      <c r="V12">
        <v>0.85799999999999998</v>
      </c>
      <c r="W12">
        <v>0</v>
      </c>
      <c r="X12">
        <v>0</v>
      </c>
      <c r="Y12">
        <v>1</v>
      </c>
      <c r="Z12">
        <v>1.008</v>
      </c>
      <c r="AA12">
        <v>2</v>
      </c>
      <c r="AB12">
        <v>0.36399999999999999</v>
      </c>
      <c r="AC12">
        <v>0</v>
      </c>
    </row>
    <row r="13" spans="1:29" hidden="1" x14ac:dyDescent="0.3">
      <c r="A13">
        <v>2</v>
      </c>
      <c r="B13">
        <v>44</v>
      </c>
      <c r="C13">
        <v>2</v>
      </c>
      <c r="D13">
        <v>2</v>
      </c>
      <c r="E13">
        <v>4</v>
      </c>
      <c r="F13">
        <v>7</v>
      </c>
      <c r="G13">
        <v>4</v>
      </c>
      <c r="H13">
        <v>7</v>
      </c>
      <c r="I13">
        <v>12</v>
      </c>
      <c r="J13">
        <v>4</v>
      </c>
      <c r="K13">
        <v>2</v>
      </c>
      <c r="L13">
        <v>27</v>
      </c>
      <c r="M13">
        <v>3.5</v>
      </c>
      <c r="N13">
        <v>5.5</v>
      </c>
      <c r="O13">
        <v>3.07</v>
      </c>
      <c r="P13">
        <v>5.31</v>
      </c>
      <c r="Q13">
        <v>6</v>
      </c>
      <c r="R13">
        <v>10</v>
      </c>
      <c r="S13">
        <v>0</v>
      </c>
      <c r="T13">
        <v>0</v>
      </c>
      <c r="U13">
        <v>1</v>
      </c>
      <c r="V13">
        <v>1.3879999999999999</v>
      </c>
      <c r="W13">
        <v>0</v>
      </c>
      <c r="X13">
        <v>0</v>
      </c>
      <c r="Y13">
        <v>1</v>
      </c>
      <c r="Z13">
        <v>0.64100000000000001</v>
      </c>
      <c r="AA13">
        <v>3</v>
      </c>
      <c r="AB13">
        <v>0.315</v>
      </c>
      <c r="AC13">
        <v>0</v>
      </c>
    </row>
    <row r="14" spans="1:29" hidden="1" x14ac:dyDescent="0.3">
      <c r="A14">
        <v>2</v>
      </c>
      <c r="B14">
        <v>1</v>
      </c>
      <c r="C14">
        <v>3</v>
      </c>
      <c r="D14">
        <v>1</v>
      </c>
      <c r="E14">
        <v>5</v>
      </c>
      <c r="F14">
        <v>6</v>
      </c>
      <c r="G14">
        <v>5</v>
      </c>
      <c r="H14">
        <v>6</v>
      </c>
      <c r="I14">
        <v>10</v>
      </c>
      <c r="J14">
        <v>5</v>
      </c>
      <c r="K14">
        <v>3</v>
      </c>
      <c r="L14">
        <v>10</v>
      </c>
      <c r="M14">
        <v>13</v>
      </c>
      <c r="N14">
        <v>5.5</v>
      </c>
      <c r="O14">
        <v>7.33</v>
      </c>
      <c r="P14">
        <v>7</v>
      </c>
      <c r="Q14">
        <v>0</v>
      </c>
      <c r="R14">
        <v>2</v>
      </c>
      <c r="S14">
        <v>0</v>
      </c>
      <c r="T14">
        <v>1</v>
      </c>
      <c r="U14">
        <v>2</v>
      </c>
      <c r="V14">
        <v>0.55500000000000005</v>
      </c>
      <c r="W14">
        <v>0</v>
      </c>
      <c r="X14">
        <v>0</v>
      </c>
      <c r="Y14">
        <v>1</v>
      </c>
      <c r="Z14">
        <v>0.621</v>
      </c>
      <c r="AA14">
        <v>4</v>
      </c>
      <c r="AB14">
        <v>0.54400000000000004</v>
      </c>
      <c r="AC14">
        <v>0</v>
      </c>
    </row>
    <row r="15" spans="1:29" hidden="1" x14ac:dyDescent="0.3">
      <c r="A15">
        <v>2</v>
      </c>
      <c r="B15">
        <v>81</v>
      </c>
      <c r="C15">
        <v>3</v>
      </c>
      <c r="D15">
        <v>1</v>
      </c>
      <c r="E15">
        <v>21</v>
      </c>
      <c r="F15">
        <v>5</v>
      </c>
      <c r="G15">
        <v>21</v>
      </c>
      <c r="H15">
        <v>5</v>
      </c>
      <c r="I15">
        <v>0</v>
      </c>
      <c r="J15">
        <v>21</v>
      </c>
      <c r="K15">
        <v>3</v>
      </c>
      <c r="L15">
        <v>10</v>
      </c>
      <c r="M15">
        <v>13</v>
      </c>
      <c r="N15">
        <v>5.5</v>
      </c>
      <c r="O15">
        <v>4.5</v>
      </c>
      <c r="P15">
        <v>3.67</v>
      </c>
      <c r="Q15">
        <v>1</v>
      </c>
      <c r="R15">
        <v>1</v>
      </c>
      <c r="S15">
        <v>1</v>
      </c>
      <c r="T15">
        <v>1</v>
      </c>
      <c r="U15">
        <v>2</v>
      </c>
      <c r="V15">
        <v>0.73099999999999998</v>
      </c>
      <c r="W15">
        <v>0</v>
      </c>
      <c r="X15">
        <v>0</v>
      </c>
      <c r="Y15">
        <v>1</v>
      </c>
      <c r="Z15">
        <v>0.70399999999999996</v>
      </c>
      <c r="AA15">
        <v>6</v>
      </c>
      <c r="AB15">
        <v>0.48599999999999999</v>
      </c>
      <c r="AC15">
        <v>0</v>
      </c>
    </row>
    <row r="16" spans="1:29" hidden="1" x14ac:dyDescent="0.3">
      <c r="A16">
        <v>2</v>
      </c>
      <c r="B16">
        <v>3</v>
      </c>
      <c r="C16">
        <v>4</v>
      </c>
      <c r="D16">
        <v>3</v>
      </c>
      <c r="E16">
        <v>6</v>
      </c>
      <c r="F16">
        <v>20</v>
      </c>
      <c r="G16">
        <v>6</v>
      </c>
      <c r="H16">
        <v>20</v>
      </c>
      <c r="I16">
        <v>8</v>
      </c>
      <c r="J16">
        <v>6</v>
      </c>
      <c r="K16">
        <v>4</v>
      </c>
      <c r="L16">
        <v>8</v>
      </c>
      <c r="M16">
        <v>13</v>
      </c>
      <c r="N16">
        <v>11.5</v>
      </c>
      <c r="O16">
        <v>6</v>
      </c>
      <c r="P16">
        <v>7.63</v>
      </c>
      <c r="Q16">
        <v>1</v>
      </c>
      <c r="R16">
        <v>2</v>
      </c>
      <c r="S16">
        <v>0</v>
      </c>
      <c r="T16">
        <v>0</v>
      </c>
      <c r="U16">
        <v>1</v>
      </c>
      <c r="V16">
        <v>1.8</v>
      </c>
      <c r="W16">
        <v>0</v>
      </c>
      <c r="X16">
        <v>0</v>
      </c>
      <c r="Y16">
        <v>1</v>
      </c>
      <c r="Z16">
        <v>1.734</v>
      </c>
      <c r="AA16">
        <v>9</v>
      </c>
      <c r="AB16">
        <v>0.93799999999999994</v>
      </c>
      <c r="AC16">
        <v>0</v>
      </c>
    </row>
    <row r="17" spans="1:29" hidden="1" x14ac:dyDescent="0.3">
      <c r="A17">
        <v>2</v>
      </c>
      <c r="B17">
        <v>6</v>
      </c>
      <c r="C17">
        <v>4</v>
      </c>
      <c r="D17">
        <v>3</v>
      </c>
      <c r="E17">
        <v>20</v>
      </c>
      <c r="F17">
        <v>3</v>
      </c>
      <c r="G17">
        <v>20</v>
      </c>
      <c r="H17">
        <v>3</v>
      </c>
      <c r="I17">
        <v>0</v>
      </c>
      <c r="J17">
        <v>14</v>
      </c>
      <c r="K17">
        <v>4</v>
      </c>
      <c r="L17">
        <v>8</v>
      </c>
      <c r="M17">
        <v>13</v>
      </c>
      <c r="N17">
        <v>11.5</v>
      </c>
      <c r="O17">
        <v>9.5</v>
      </c>
      <c r="P17">
        <v>8</v>
      </c>
      <c r="Q17">
        <v>0</v>
      </c>
      <c r="R17">
        <v>0</v>
      </c>
      <c r="S17">
        <v>1</v>
      </c>
      <c r="T17">
        <v>1</v>
      </c>
      <c r="U17">
        <v>1</v>
      </c>
      <c r="V17">
        <v>2.1150000000000002</v>
      </c>
      <c r="W17">
        <v>0</v>
      </c>
      <c r="X17">
        <v>0</v>
      </c>
      <c r="Y17">
        <v>1</v>
      </c>
      <c r="Z17">
        <v>2.2029999999999998</v>
      </c>
      <c r="AA17">
        <v>15</v>
      </c>
      <c r="AB17">
        <v>1.288</v>
      </c>
      <c r="AC17">
        <v>0</v>
      </c>
    </row>
    <row r="18" spans="1:29" hidden="1" x14ac:dyDescent="0.3">
      <c r="A18">
        <v>3</v>
      </c>
      <c r="B18">
        <v>63</v>
      </c>
      <c r="C18">
        <v>1</v>
      </c>
      <c r="D18">
        <v>1</v>
      </c>
      <c r="E18">
        <v>1.5</v>
      </c>
      <c r="F18">
        <v>1.5</v>
      </c>
      <c r="G18">
        <v>1.5</v>
      </c>
      <c r="H18">
        <v>1.5</v>
      </c>
      <c r="I18">
        <v>43</v>
      </c>
      <c r="J18">
        <v>1</v>
      </c>
      <c r="K18">
        <v>1</v>
      </c>
      <c r="L18">
        <v>86</v>
      </c>
      <c r="M18">
        <v>1.5</v>
      </c>
      <c r="N18">
        <v>1.5</v>
      </c>
      <c r="O18">
        <v>7.83</v>
      </c>
      <c r="P18">
        <v>8.33</v>
      </c>
      <c r="Q18">
        <v>0</v>
      </c>
      <c r="R18">
        <v>0</v>
      </c>
      <c r="S18">
        <v>0</v>
      </c>
      <c r="T18">
        <v>0</v>
      </c>
      <c r="U18">
        <v>5</v>
      </c>
      <c r="V18">
        <v>0</v>
      </c>
      <c r="W18">
        <v>0.20499999999999999</v>
      </c>
      <c r="X18">
        <v>0.254</v>
      </c>
      <c r="Y18">
        <v>0</v>
      </c>
      <c r="Z18">
        <v>0</v>
      </c>
      <c r="AA18">
        <v>0</v>
      </c>
      <c r="AB18">
        <v>0.29800000000000182</v>
      </c>
      <c r="AC18">
        <v>0</v>
      </c>
    </row>
    <row r="19" spans="1:29" hidden="1" x14ac:dyDescent="0.3">
      <c r="A19">
        <v>3</v>
      </c>
      <c r="B19">
        <v>12</v>
      </c>
      <c r="C19">
        <v>1</v>
      </c>
      <c r="D19">
        <v>1</v>
      </c>
      <c r="E19">
        <v>1.5</v>
      </c>
      <c r="F19">
        <v>1.5</v>
      </c>
      <c r="G19">
        <v>1.5</v>
      </c>
      <c r="H19">
        <v>1.5</v>
      </c>
      <c r="I19">
        <v>43</v>
      </c>
      <c r="J19">
        <v>2</v>
      </c>
      <c r="K19">
        <v>1</v>
      </c>
      <c r="L19">
        <v>86</v>
      </c>
      <c r="M19">
        <v>1.5</v>
      </c>
      <c r="N19">
        <v>1.5</v>
      </c>
      <c r="O19">
        <v>3.5</v>
      </c>
      <c r="P19">
        <v>3.5</v>
      </c>
      <c r="Q19">
        <v>0</v>
      </c>
      <c r="R19">
        <v>0</v>
      </c>
      <c r="S19">
        <v>0</v>
      </c>
      <c r="T19">
        <v>0</v>
      </c>
      <c r="U19">
        <v>5</v>
      </c>
      <c r="V19">
        <v>2.5999999999999999E-2</v>
      </c>
      <c r="W19">
        <v>9.1999999999999998E-2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</row>
    <row r="20" spans="1:29" hidden="1" x14ac:dyDescent="0.3">
      <c r="A20">
        <v>3</v>
      </c>
      <c r="B20">
        <v>16</v>
      </c>
      <c r="C20">
        <v>2</v>
      </c>
      <c r="D20">
        <v>2</v>
      </c>
      <c r="E20">
        <v>3.5</v>
      </c>
      <c r="F20">
        <v>4</v>
      </c>
      <c r="G20">
        <v>3.5</v>
      </c>
      <c r="H20">
        <v>4</v>
      </c>
      <c r="I20">
        <v>34</v>
      </c>
      <c r="J20">
        <v>3</v>
      </c>
      <c r="K20">
        <v>2</v>
      </c>
      <c r="L20">
        <v>61</v>
      </c>
      <c r="M20">
        <v>3.5</v>
      </c>
      <c r="N20">
        <v>4.5</v>
      </c>
      <c r="O20">
        <v>4</v>
      </c>
      <c r="P20">
        <v>4.8600000000000003</v>
      </c>
      <c r="Q20">
        <v>0</v>
      </c>
      <c r="R20">
        <v>2</v>
      </c>
      <c r="S20">
        <v>0</v>
      </c>
      <c r="T20">
        <v>0</v>
      </c>
      <c r="U20">
        <v>1</v>
      </c>
      <c r="V20">
        <v>0.28899999999999998</v>
      </c>
      <c r="W20">
        <v>0.71299999999999997</v>
      </c>
      <c r="X20">
        <v>0.86699999999999999</v>
      </c>
      <c r="Y20">
        <v>0</v>
      </c>
      <c r="Z20">
        <v>0</v>
      </c>
      <c r="AA20">
        <v>0</v>
      </c>
      <c r="AB20">
        <v>0.62700000000000244</v>
      </c>
      <c r="AC20">
        <v>0</v>
      </c>
    </row>
    <row r="21" spans="1:29" hidden="1" x14ac:dyDescent="0.3">
      <c r="A21">
        <v>3</v>
      </c>
      <c r="B21">
        <v>44</v>
      </c>
      <c r="C21">
        <v>2</v>
      </c>
      <c r="D21">
        <v>2</v>
      </c>
      <c r="E21">
        <v>3.5</v>
      </c>
      <c r="F21">
        <v>5</v>
      </c>
      <c r="G21">
        <v>3.5</v>
      </c>
      <c r="H21">
        <v>5</v>
      </c>
      <c r="I21">
        <v>27</v>
      </c>
      <c r="J21">
        <v>4</v>
      </c>
      <c r="K21">
        <v>2</v>
      </c>
      <c r="L21">
        <v>61</v>
      </c>
      <c r="M21">
        <v>3.5</v>
      </c>
      <c r="N21">
        <v>4.5</v>
      </c>
      <c r="O21">
        <v>4</v>
      </c>
      <c r="P21">
        <v>4.5</v>
      </c>
      <c r="Q21">
        <v>5</v>
      </c>
      <c r="R21">
        <v>7</v>
      </c>
      <c r="S21">
        <v>0</v>
      </c>
      <c r="T21">
        <v>0</v>
      </c>
      <c r="U21">
        <v>1</v>
      </c>
      <c r="V21">
        <v>0.374</v>
      </c>
      <c r="W21">
        <v>0.84699999999999998</v>
      </c>
      <c r="X21">
        <v>1.0209999999999999</v>
      </c>
      <c r="Y21">
        <v>0</v>
      </c>
      <c r="Z21">
        <v>0</v>
      </c>
      <c r="AA21">
        <v>0</v>
      </c>
      <c r="AB21">
        <v>0.78900000000000148</v>
      </c>
      <c r="AC21">
        <v>0</v>
      </c>
    </row>
    <row r="22" spans="1:29" hidden="1" x14ac:dyDescent="0.3">
      <c r="A22">
        <v>3</v>
      </c>
      <c r="B22">
        <v>1</v>
      </c>
      <c r="C22">
        <v>3</v>
      </c>
      <c r="D22">
        <v>1</v>
      </c>
      <c r="E22">
        <v>12.5</v>
      </c>
      <c r="F22">
        <v>6</v>
      </c>
      <c r="G22">
        <v>12.5</v>
      </c>
      <c r="H22">
        <v>6</v>
      </c>
      <c r="I22">
        <v>15</v>
      </c>
      <c r="J22">
        <v>5</v>
      </c>
      <c r="K22">
        <v>3</v>
      </c>
      <c r="L22">
        <v>18</v>
      </c>
      <c r="M22">
        <v>16.25</v>
      </c>
      <c r="N22">
        <v>5.5</v>
      </c>
      <c r="O22">
        <v>5.83</v>
      </c>
      <c r="P22">
        <v>5.17</v>
      </c>
      <c r="Q22">
        <v>0</v>
      </c>
      <c r="R22">
        <v>2</v>
      </c>
      <c r="S22">
        <v>1</v>
      </c>
      <c r="T22">
        <v>3</v>
      </c>
      <c r="U22">
        <v>5</v>
      </c>
      <c r="V22">
        <v>0.13200000000000001</v>
      </c>
      <c r="W22">
        <v>0.51600000000000001</v>
      </c>
      <c r="X22">
        <v>1.238</v>
      </c>
      <c r="Y22">
        <v>0</v>
      </c>
      <c r="Z22">
        <v>0</v>
      </c>
      <c r="AA22">
        <v>0</v>
      </c>
      <c r="AB22">
        <v>0.63100000000000023</v>
      </c>
      <c r="AC22">
        <v>0</v>
      </c>
    </row>
    <row r="23" spans="1:29" hidden="1" x14ac:dyDescent="0.3">
      <c r="A23">
        <v>3</v>
      </c>
      <c r="B23">
        <v>81</v>
      </c>
      <c r="C23">
        <v>3</v>
      </c>
      <c r="D23">
        <v>1</v>
      </c>
      <c r="E23">
        <v>20</v>
      </c>
      <c r="F23">
        <v>5</v>
      </c>
      <c r="G23">
        <v>20</v>
      </c>
      <c r="H23">
        <v>5</v>
      </c>
      <c r="I23">
        <v>3</v>
      </c>
      <c r="J23">
        <v>20</v>
      </c>
      <c r="K23">
        <v>3</v>
      </c>
      <c r="L23">
        <v>18</v>
      </c>
      <c r="M23">
        <v>16.25</v>
      </c>
      <c r="N23">
        <v>5.5</v>
      </c>
      <c r="O23">
        <v>4</v>
      </c>
      <c r="P23">
        <v>3.5</v>
      </c>
      <c r="Q23">
        <v>0</v>
      </c>
      <c r="R23">
        <v>3</v>
      </c>
      <c r="S23">
        <v>2</v>
      </c>
      <c r="T23">
        <v>3</v>
      </c>
      <c r="U23">
        <v>5</v>
      </c>
      <c r="V23">
        <v>0.19900000000000001</v>
      </c>
      <c r="W23">
        <v>0</v>
      </c>
      <c r="X23">
        <v>1.002</v>
      </c>
      <c r="Y23">
        <v>0</v>
      </c>
      <c r="Z23">
        <v>0</v>
      </c>
      <c r="AA23">
        <v>0</v>
      </c>
      <c r="AB23">
        <v>0.35400000000000276</v>
      </c>
      <c r="AC23">
        <v>0</v>
      </c>
    </row>
    <row r="24" spans="1:29" hidden="1" x14ac:dyDescent="0.3">
      <c r="A24">
        <v>3</v>
      </c>
      <c r="B24">
        <v>3</v>
      </c>
      <c r="C24">
        <v>4</v>
      </c>
      <c r="D24">
        <v>3</v>
      </c>
      <c r="E24">
        <v>11</v>
      </c>
      <c r="F24">
        <v>14</v>
      </c>
      <c r="G24">
        <v>11</v>
      </c>
      <c r="H24">
        <v>14</v>
      </c>
      <c r="I24">
        <v>8</v>
      </c>
      <c r="J24">
        <v>10</v>
      </c>
      <c r="K24">
        <v>4</v>
      </c>
      <c r="L24">
        <v>12</v>
      </c>
      <c r="M24">
        <v>12.5</v>
      </c>
      <c r="N24">
        <v>10</v>
      </c>
      <c r="O24">
        <v>3.11</v>
      </c>
      <c r="P24">
        <v>4.7</v>
      </c>
      <c r="Q24">
        <v>4</v>
      </c>
      <c r="R24">
        <v>7</v>
      </c>
      <c r="S24">
        <v>1</v>
      </c>
      <c r="T24">
        <v>2</v>
      </c>
      <c r="U24">
        <v>2</v>
      </c>
      <c r="V24">
        <v>0.79100000000000004</v>
      </c>
      <c r="W24">
        <v>1.3759999999999999</v>
      </c>
      <c r="X24">
        <v>1.548</v>
      </c>
      <c r="Y24">
        <v>0</v>
      </c>
      <c r="Z24">
        <v>0</v>
      </c>
      <c r="AA24">
        <v>0</v>
      </c>
      <c r="AB24">
        <v>1.4840000000000018</v>
      </c>
      <c r="AC24">
        <v>0</v>
      </c>
    </row>
    <row r="25" spans="1:29" hidden="1" x14ac:dyDescent="0.3">
      <c r="A25">
        <v>3</v>
      </c>
      <c r="B25">
        <v>6</v>
      </c>
      <c r="C25">
        <v>4</v>
      </c>
      <c r="D25">
        <v>3</v>
      </c>
      <c r="E25">
        <v>14</v>
      </c>
      <c r="F25">
        <v>6</v>
      </c>
      <c r="G25">
        <v>14</v>
      </c>
      <c r="H25">
        <v>6</v>
      </c>
      <c r="I25">
        <v>4</v>
      </c>
      <c r="J25">
        <v>12</v>
      </c>
      <c r="K25">
        <v>4</v>
      </c>
      <c r="L25">
        <v>12</v>
      </c>
      <c r="M25">
        <v>12.5</v>
      </c>
      <c r="N25">
        <v>10</v>
      </c>
      <c r="O25">
        <v>10</v>
      </c>
      <c r="P25">
        <v>7.5</v>
      </c>
      <c r="Q25">
        <v>0</v>
      </c>
      <c r="R25">
        <v>0</v>
      </c>
      <c r="S25">
        <v>1</v>
      </c>
      <c r="T25">
        <v>2</v>
      </c>
      <c r="U25">
        <v>2</v>
      </c>
      <c r="V25">
        <v>1.137</v>
      </c>
      <c r="W25">
        <v>1.6259999999999999</v>
      </c>
      <c r="X25">
        <v>1.732</v>
      </c>
      <c r="Y25">
        <v>0</v>
      </c>
      <c r="Z25">
        <v>0</v>
      </c>
      <c r="AA25">
        <v>0</v>
      </c>
      <c r="AB25">
        <v>1.2000000000000028</v>
      </c>
      <c r="AC25">
        <v>0</v>
      </c>
    </row>
    <row r="26" spans="1:29" hidden="1" x14ac:dyDescent="0.3">
      <c r="A26">
        <v>4</v>
      </c>
      <c r="B26">
        <v>63</v>
      </c>
      <c r="C26">
        <v>1</v>
      </c>
      <c r="D26">
        <v>1</v>
      </c>
      <c r="E26">
        <v>2.3333333333333335</v>
      </c>
      <c r="F26">
        <v>1.6666666666666667</v>
      </c>
      <c r="G26">
        <v>2.3333333333333335</v>
      </c>
      <c r="H26">
        <v>1.6666666666666667</v>
      </c>
      <c r="I26">
        <v>55</v>
      </c>
      <c r="J26">
        <v>2</v>
      </c>
      <c r="K26">
        <v>1</v>
      </c>
      <c r="L26">
        <v>123</v>
      </c>
      <c r="M26">
        <v>1.8333333333333335</v>
      </c>
      <c r="N26">
        <v>1.5</v>
      </c>
      <c r="O26">
        <v>4.8</v>
      </c>
      <c r="P26">
        <v>7</v>
      </c>
      <c r="Q26">
        <v>0</v>
      </c>
      <c r="R26">
        <v>1</v>
      </c>
      <c r="S26">
        <v>0</v>
      </c>
      <c r="T26">
        <v>0</v>
      </c>
      <c r="U26">
        <v>5</v>
      </c>
      <c r="V26">
        <v>0.79</v>
      </c>
      <c r="W26">
        <v>0</v>
      </c>
      <c r="X26">
        <v>0</v>
      </c>
      <c r="Y26">
        <v>1</v>
      </c>
      <c r="Z26">
        <v>0.62399999999999878</v>
      </c>
      <c r="AA26">
        <v>4</v>
      </c>
      <c r="AB26">
        <v>0.39900000000000091</v>
      </c>
      <c r="AC26">
        <v>0</v>
      </c>
    </row>
    <row r="27" spans="1:29" hidden="1" x14ac:dyDescent="0.3">
      <c r="A27">
        <v>4</v>
      </c>
      <c r="B27">
        <v>12</v>
      </c>
      <c r="C27">
        <v>1</v>
      </c>
      <c r="D27">
        <v>1</v>
      </c>
      <c r="E27">
        <v>1.3333333333333333</v>
      </c>
      <c r="F27">
        <v>1.3333333333333333</v>
      </c>
      <c r="G27">
        <v>1.3333333333333333</v>
      </c>
      <c r="H27">
        <v>1.3333333333333333</v>
      </c>
      <c r="I27">
        <v>68</v>
      </c>
      <c r="J27">
        <v>1</v>
      </c>
      <c r="K27">
        <v>1</v>
      </c>
      <c r="L27">
        <v>123</v>
      </c>
      <c r="M27">
        <v>1.8333333333333335</v>
      </c>
      <c r="N27">
        <v>1.5</v>
      </c>
      <c r="O27">
        <v>3.5</v>
      </c>
      <c r="P27">
        <v>1.5</v>
      </c>
      <c r="Q27">
        <v>0</v>
      </c>
      <c r="R27">
        <v>0</v>
      </c>
      <c r="S27">
        <v>0</v>
      </c>
      <c r="T27">
        <v>0</v>
      </c>
      <c r="U27">
        <v>5</v>
      </c>
      <c r="V27">
        <v>0.76900000000000002</v>
      </c>
      <c r="W27">
        <v>0</v>
      </c>
      <c r="X27">
        <v>0</v>
      </c>
      <c r="Y27">
        <v>1</v>
      </c>
      <c r="Z27">
        <v>0.22200000000000131</v>
      </c>
      <c r="AA27">
        <v>6</v>
      </c>
      <c r="AB27">
        <v>0</v>
      </c>
      <c r="AC27">
        <v>1</v>
      </c>
    </row>
    <row r="28" spans="1:29" hidden="1" x14ac:dyDescent="0.3">
      <c r="A28">
        <v>4</v>
      </c>
      <c r="B28">
        <v>16</v>
      </c>
      <c r="C28">
        <v>2</v>
      </c>
      <c r="D28">
        <v>2</v>
      </c>
      <c r="E28">
        <v>3.3333333333333335</v>
      </c>
      <c r="F28">
        <v>4</v>
      </c>
      <c r="G28">
        <v>3.3333333333333335</v>
      </c>
      <c r="H28">
        <v>4</v>
      </c>
      <c r="I28">
        <v>49</v>
      </c>
      <c r="J28">
        <v>3</v>
      </c>
      <c r="K28">
        <v>2</v>
      </c>
      <c r="L28">
        <v>84</v>
      </c>
      <c r="M28">
        <v>3.833333333333333</v>
      </c>
      <c r="N28">
        <v>4.6666666666666661</v>
      </c>
      <c r="O28">
        <v>5.4</v>
      </c>
      <c r="P28">
        <v>4.2</v>
      </c>
      <c r="Q28">
        <v>0</v>
      </c>
      <c r="R28">
        <v>2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0.37000000000000099</v>
      </c>
      <c r="AA28">
        <v>3</v>
      </c>
      <c r="AB28">
        <v>0.34500000000000242</v>
      </c>
      <c r="AC28">
        <v>0</v>
      </c>
    </row>
    <row r="29" spans="1:29" hidden="1" x14ac:dyDescent="0.3">
      <c r="A29">
        <v>4</v>
      </c>
      <c r="B29">
        <v>44</v>
      </c>
      <c r="C29">
        <v>2</v>
      </c>
      <c r="D29">
        <v>2</v>
      </c>
      <c r="E29">
        <v>4.333333333333333</v>
      </c>
      <c r="F29">
        <v>5.333333333333333</v>
      </c>
      <c r="G29">
        <v>4.333333333333333</v>
      </c>
      <c r="H29">
        <v>5.333333333333333</v>
      </c>
      <c r="I29">
        <v>35</v>
      </c>
      <c r="J29">
        <v>4</v>
      </c>
      <c r="K29">
        <v>2</v>
      </c>
      <c r="L29">
        <v>84</v>
      </c>
      <c r="M29">
        <v>3.833333333333333</v>
      </c>
      <c r="N29">
        <v>4.6666666666666661</v>
      </c>
      <c r="O29">
        <v>6.4</v>
      </c>
      <c r="P29">
        <v>9</v>
      </c>
      <c r="Q29">
        <v>0</v>
      </c>
      <c r="R29">
        <v>0</v>
      </c>
      <c r="S29">
        <v>0</v>
      </c>
      <c r="T29">
        <v>0</v>
      </c>
      <c r="U29">
        <v>1</v>
      </c>
      <c r="V29">
        <v>0.46700000000000003</v>
      </c>
      <c r="W29">
        <v>0</v>
      </c>
      <c r="X29">
        <v>0</v>
      </c>
      <c r="Y29">
        <v>1</v>
      </c>
      <c r="Z29">
        <v>0.74899999999999878</v>
      </c>
      <c r="AA29">
        <v>7</v>
      </c>
      <c r="AB29">
        <v>0.5210000000000008</v>
      </c>
      <c r="AC29">
        <v>0</v>
      </c>
    </row>
    <row r="30" spans="1:29" hidden="1" x14ac:dyDescent="0.3">
      <c r="A30">
        <v>4</v>
      </c>
      <c r="B30">
        <v>1</v>
      </c>
      <c r="C30">
        <v>3</v>
      </c>
      <c r="D30">
        <v>1</v>
      </c>
      <c r="E30">
        <v>10</v>
      </c>
      <c r="F30">
        <v>5.666666666666667</v>
      </c>
      <c r="G30">
        <v>10</v>
      </c>
      <c r="H30">
        <v>5.666666666666667</v>
      </c>
      <c r="I30">
        <v>25</v>
      </c>
      <c r="J30">
        <v>5</v>
      </c>
      <c r="K30">
        <v>3</v>
      </c>
      <c r="L30">
        <v>46</v>
      </c>
      <c r="M30">
        <v>12</v>
      </c>
      <c r="N30">
        <v>5</v>
      </c>
      <c r="O30">
        <v>5.5</v>
      </c>
      <c r="P30">
        <v>7</v>
      </c>
      <c r="Q30">
        <v>1</v>
      </c>
      <c r="R30">
        <v>3</v>
      </c>
      <c r="S30">
        <v>1</v>
      </c>
      <c r="T30">
        <v>3</v>
      </c>
      <c r="U30">
        <v>5</v>
      </c>
      <c r="V30">
        <v>0.89800000000000002</v>
      </c>
      <c r="W30">
        <v>0</v>
      </c>
      <c r="X30">
        <v>0</v>
      </c>
      <c r="Y30">
        <v>1</v>
      </c>
      <c r="Z30">
        <v>0</v>
      </c>
      <c r="AA30">
        <v>1</v>
      </c>
      <c r="AB30">
        <v>0.38500000000000156</v>
      </c>
      <c r="AC30">
        <v>0</v>
      </c>
    </row>
    <row r="31" spans="1:29" hidden="1" x14ac:dyDescent="0.3">
      <c r="A31">
        <v>4</v>
      </c>
      <c r="B31">
        <v>81</v>
      </c>
      <c r="C31">
        <v>3</v>
      </c>
      <c r="D31">
        <v>1</v>
      </c>
      <c r="E31">
        <v>14</v>
      </c>
      <c r="F31">
        <v>4.333333333333333</v>
      </c>
      <c r="G31">
        <v>14</v>
      </c>
      <c r="H31">
        <v>4.333333333333333</v>
      </c>
      <c r="I31">
        <v>21</v>
      </c>
      <c r="J31">
        <v>20</v>
      </c>
      <c r="K31">
        <v>3</v>
      </c>
      <c r="L31">
        <v>46</v>
      </c>
      <c r="M31">
        <v>12</v>
      </c>
      <c r="N31">
        <v>5</v>
      </c>
      <c r="O31">
        <v>9</v>
      </c>
      <c r="P31">
        <v>9</v>
      </c>
      <c r="Q31">
        <v>1</v>
      </c>
      <c r="R31">
        <v>2</v>
      </c>
      <c r="S31">
        <v>2</v>
      </c>
      <c r="T31">
        <v>3</v>
      </c>
      <c r="U31">
        <v>5</v>
      </c>
      <c r="V31">
        <v>0.44800000000000001</v>
      </c>
      <c r="W31">
        <v>0</v>
      </c>
      <c r="X31">
        <v>0</v>
      </c>
      <c r="Y31">
        <v>1</v>
      </c>
      <c r="Z31">
        <v>0.23900000000000077</v>
      </c>
      <c r="AA31">
        <v>2</v>
      </c>
      <c r="AB31">
        <v>0.70200000000000173</v>
      </c>
      <c r="AC31">
        <v>0</v>
      </c>
    </row>
    <row r="32" spans="1:29" hidden="1" x14ac:dyDescent="0.3">
      <c r="A32">
        <v>4</v>
      </c>
      <c r="B32">
        <v>3</v>
      </c>
      <c r="C32">
        <v>4</v>
      </c>
      <c r="D32">
        <v>3</v>
      </c>
      <c r="E32">
        <v>10</v>
      </c>
      <c r="F32">
        <v>13</v>
      </c>
      <c r="G32">
        <v>10</v>
      </c>
      <c r="H32">
        <v>13</v>
      </c>
      <c r="I32">
        <v>12</v>
      </c>
      <c r="J32">
        <v>9</v>
      </c>
      <c r="K32">
        <v>4</v>
      </c>
      <c r="L32">
        <v>16</v>
      </c>
      <c r="M32">
        <v>11.666666666666668</v>
      </c>
      <c r="N32">
        <v>9.8333333333333339</v>
      </c>
      <c r="O32">
        <v>2.6</v>
      </c>
      <c r="P32">
        <v>3.2</v>
      </c>
      <c r="Q32">
        <v>2</v>
      </c>
      <c r="R32">
        <v>3</v>
      </c>
      <c r="S32">
        <v>1</v>
      </c>
      <c r="T32">
        <v>2</v>
      </c>
      <c r="U32">
        <v>2</v>
      </c>
      <c r="V32">
        <v>0.29699999999999999</v>
      </c>
      <c r="W32">
        <v>0</v>
      </c>
      <c r="X32">
        <v>0</v>
      </c>
      <c r="Y32">
        <v>1</v>
      </c>
      <c r="Z32">
        <v>0.59199999999999875</v>
      </c>
      <c r="AA32">
        <v>5</v>
      </c>
      <c r="AB32">
        <v>0.16600000000000037</v>
      </c>
      <c r="AC32">
        <v>0</v>
      </c>
    </row>
    <row r="33" spans="1:29" hidden="1" x14ac:dyDescent="0.3">
      <c r="A33">
        <v>4</v>
      </c>
      <c r="B33">
        <v>6</v>
      </c>
      <c r="C33">
        <v>4</v>
      </c>
      <c r="D33">
        <v>3</v>
      </c>
      <c r="E33">
        <v>13.333333333333334</v>
      </c>
      <c r="F33">
        <v>6.666666666666667</v>
      </c>
      <c r="G33">
        <v>13.333333333333334</v>
      </c>
      <c r="H33">
        <v>6.666666666666667</v>
      </c>
      <c r="I33">
        <v>4</v>
      </c>
      <c r="J33">
        <v>14</v>
      </c>
      <c r="K33">
        <v>4</v>
      </c>
      <c r="L33">
        <v>16</v>
      </c>
      <c r="M33">
        <v>11.666666666666668</v>
      </c>
      <c r="N33">
        <v>9.8333333333333339</v>
      </c>
      <c r="O33">
        <v>11</v>
      </c>
      <c r="P33">
        <v>16.5</v>
      </c>
      <c r="Q33">
        <v>0</v>
      </c>
      <c r="R33">
        <v>0</v>
      </c>
      <c r="S33">
        <v>1</v>
      </c>
      <c r="T33">
        <v>2</v>
      </c>
      <c r="U33">
        <v>2</v>
      </c>
      <c r="V33">
        <v>1.5629999999999999</v>
      </c>
      <c r="W33">
        <v>0</v>
      </c>
      <c r="X33">
        <v>0</v>
      </c>
      <c r="Y33">
        <v>1</v>
      </c>
      <c r="Z33">
        <v>1.5530000000000008</v>
      </c>
      <c r="AA33">
        <v>9</v>
      </c>
      <c r="AB33">
        <v>59.99</v>
      </c>
      <c r="AC33">
        <v>0</v>
      </c>
    </row>
    <row r="34" spans="1:29" hidden="1" x14ac:dyDescent="0.3">
      <c r="A34">
        <v>5</v>
      </c>
      <c r="B34">
        <v>63</v>
      </c>
      <c r="C34">
        <v>1</v>
      </c>
      <c r="D34">
        <v>1</v>
      </c>
      <c r="E34">
        <v>2.75</v>
      </c>
      <c r="F34">
        <v>2.5</v>
      </c>
      <c r="G34">
        <v>3.3333333333333335</v>
      </c>
      <c r="H34">
        <v>3</v>
      </c>
      <c r="I34">
        <v>67</v>
      </c>
      <c r="J34">
        <v>2</v>
      </c>
      <c r="K34">
        <v>1</v>
      </c>
      <c r="L34">
        <v>167</v>
      </c>
      <c r="M34">
        <v>2</v>
      </c>
      <c r="N34">
        <v>1.875</v>
      </c>
      <c r="O34">
        <v>6</v>
      </c>
      <c r="P34">
        <v>5.5</v>
      </c>
      <c r="Q34">
        <v>1</v>
      </c>
      <c r="R34">
        <v>2</v>
      </c>
      <c r="S34">
        <v>0</v>
      </c>
      <c r="T34">
        <v>0</v>
      </c>
      <c r="U34">
        <v>6</v>
      </c>
      <c r="V34">
        <v>0.14199999999999999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</row>
    <row r="35" spans="1:29" hidden="1" x14ac:dyDescent="0.3">
      <c r="A35">
        <v>5</v>
      </c>
      <c r="B35">
        <v>12</v>
      </c>
      <c r="C35">
        <v>1</v>
      </c>
      <c r="D35">
        <v>1</v>
      </c>
      <c r="E35">
        <v>1.25</v>
      </c>
      <c r="F35">
        <v>1.25</v>
      </c>
      <c r="G35">
        <v>1</v>
      </c>
      <c r="H35">
        <v>1</v>
      </c>
      <c r="I35">
        <v>100</v>
      </c>
      <c r="J35">
        <v>1</v>
      </c>
      <c r="K35">
        <v>1</v>
      </c>
      <c r="L35">
        <v>167</v>
      </c>
      <c r="M35">
        <v>2</v>
      </c>
      <c r="N35">
        <v>1.875</v>
      </c>
      <c r="O35">
        <v>2</v>
      </c>
      <c r="P35">
        <v>3</v>
      </c>
      <c r="Q35">
        <v>0</v>
      </c>
      <c r="R35">
        <v>1</v>
      </c>
      <c r="S35">
        <v>0</v>
      </c>
      <c r="T35">
        <v>0</v>
      </c>
      <c r="U35">
        <v>6</v>
      </c>
      <c r="V35">
        <v>0</v>
      </c>
      <c r="W35">
        <v>0</v>
      </c>
      <c r="X35">
        <v>0</v>
      </c>
      <c r="Y35">
        <v>1</v>
      </c>
      <c r="Z35">
        <v>6.7999999999999616E-2</v>
      </c>
      <c r="AA35">
        <v>3</v>
      </c>
      <c r="AB35">
        <v>6.8000000000001393E-2</v>
      </c>
      <c r="AC35">
        <v>1</v>
      </c>
    </row>
    <row r="36" spans="1:29" hidden="1" x14ac:dyDescent="0.3">
      <c r="A36">
        <v>5</v>
      </c>
      <c r="B36">
        <v>16</v>
      </c>
      <c r="C36">
        <v>2</v>
      </c>
      <c r="D36">
        <v>2</v>
      </c>
      <c r="E36">
        <v>4.5</v>
      </c>
      <c r="F36">
        <v>3.75</v>
      </c>
      <c r="G36">
        <v>5</v>
      </c>
      <c r="H36">
        <v>3.6666666666666665</v>
      </c>
      <c r="I36">
        <v>59</v>
      </c>
      <c r="J36">
        <v>3</v>
      </c>
      <c r="K36">
        <v>2</v>
      </c>
      <c r="L36">
        <v>110</v>
      </c>
      <c r="M36">
        <v>4.625</v>
      </c>
      <c r="N36">
        <v>4.625</v>
      </c>
      <c r="O36">
        <v>5.17</v>
      </c>
      <c r="P36">
        <v>10.29</v>
      </c>
      <c r="Q36">
        <v>0</v>
      </c>
      <c r="R36">
        <v>1</v>
      </c>
      <c r="S36">
        <v>0</v>
      </c>
      <c r="T36">
        <v>0</v>
      </c>
      <c r="U36">
        <v>1</v>
      </c>
      <c r="V36">
        <v>0.95299999999999996</v>
      </c>
      <c r="W36">
        <v>0</v>
      </c>
      <c r="X36">
        <v>0</v>
      </c>
      <c r="Y36">
        <v>1</v>
      </c>
      <c r="Z36">
        <v>0.44500000000000028</v>
      </c>
      <c r="AA36">
        <v>5</v>
      </c>
      <c r="AB36">
        <v>0.39800000000000146</v>
      </c>
      <c r="AC36">
        <v>0</v>
      </c>
    </row>
    <row r="37" spans="1:29" hidden="1" x14ac:dyDescent="0.3">
      <c r="A37">
        <v>5</v>
      </c>
      <c r="B37">
        <v>44</v>
      </c>
      <c r="C37">
        <v>2</v>
      </c>
      <c r="D37">
        <v>2</v>
      </c>
      <c r="E37">
        <v>4.75</v>
      </c>
      <c r="F37">
        <v>5.5</v>
      </c>
      <c r="G37">
        <v>5</v>
      </c>
      <c r="H37">
        <v>5</v>
      </c>
      <c r="I37">
        <v>51</v>
      </c>
      <c r="J37">
        <v>4</v>
      </c>
      <c r="K37">
        <v>2</v>
      </c>
      <c r="L37">
        <v>110</v>
      </c>
      <c r="M37">
        <v>4.625</v>
      </c>
      <c r="N37">
        <v>4.625</v>
      </c>
      <c r="O37">
        <v>2.36</v>
      </c>
      <c r="P37">
        <v>2.76</v>
      </c>
      <c r="Q37">
        <v>7</v>
      </c>
      <c r="R37">
        <v>9</v>
      </c>
      <c r="S37">
        <v>0</v>
      </c>
      <c r="T37">
        <v>0</v>
      </c>
      <c r="U37">
        <v>1</v>
      </c>
      <c r="V37">
        <v>0.77400000000000002</v>
      </c>
      <c r="W37">
        <v>0</v>
      </c>
      <c r="X37">
        <v>0</v>
      </c>
      <c r="Y37">
        <v>1</v>
      </c>
      <c r="Z37">
        <v>0.36100000000000065</v>
      </c>
      <c r="AA37">
        <v>6</v>
      </c>
      <c r="AB37">
        <v>0.29000000000000092</v>
      </c>
      <c r="AC37">
        <v>0</v>
      </c>
    </row>
    <row r="38" spans="1:29" hidden="1" x14ac:dyDescent="0.3">
      <c r="A38">
        <v>5</v>
      </c>
      <c r="B38">
        <v>1</v>
      </c>
      <c r="C38">
        <v>3</v>
      </c>
      <c r="D38">
        <v>1</v>
      </c>
      <c r="E38">
        <v>8</v>
      </c>
      <c r="F38">
        <v>5.25</v>
      </c>
      <c r="G38">
        <v>9</v>
      </c>
      <c r="H38">
        <v>5</v>
      </c>
      <c r="I38">
        <v>51</v>
      </c>
      <c r="J38">
        <v>5</v>
      </c>
      <c r="K38">
        <v>3</v>
      </c>
      <c r="L38">
        <v>94</v>
      </c>
      <c r="M38">
        <v>9.625</v>
      </c>
      <c r="N38">
        <v>5.125</v>
      </c>
      <c r="O38">
        <v>12</v>
      </c>
      <c r="P38">
        <v>7</v>
      </c>
      <c r="Q38">
        <v>0</v>
      </c>
      <c r="R38">
        <v>1</v>
      </c>
      <c r="S38">
        <v>1</v>
      </c>
      <c r="T38">
        <v>3</v>
      </c>
      <c r="U38">
        <v>6</v>
      </c>
      <c r="V38">
        <v>1.397</v>
      </c>
      <c r="W38">
        <v>0</v>
      </c>
      <c r="X38">
        <v>0</v>
      </c>
      <c r="Y38">
        <v>1</v>
      </c>
      <c r="Z38">
        <v>0.3149999999999995</v>
      </c>
      <c r="AA38">
        <v>2</v>
      </c>
      <c r="AB38">
        <v>0.1509999999999998</v>
      </c>
      <c r="AC38">
        <v>0</v>
      </c>
    </row>
    <row r="39" spans="1:29" hidden="1" x14ac:dyDescent="0.3">
      <c r="A39">
        <v>5</v>
      </c>
      <c r="B39">
        <v>81</v>
      </c>
      <c r="C39">
        <v>3</v>
      </c>
      <c r="D39">
        <v>1</v>
      </c>
      <c r="E39">
        <v>11.25</v>
      </c>
      <c r="F39">
        <v>5</v>
      </c>
      <c r="G39">
        <v>8</v>
      </c>
      <c r="H39">
        <v>5</v>
      </c>
      <c r="I39">
        <v>43</v>
      </c>
      <c r="J39">
        <v>6</v>
      </c>
      <c r="K39">
        <v>3</v>
      </c>
      <c r="L39">
        <v>94</v>
      </c>
      <c r="M39">
        <v>9.625</v>
      </c>
      <c r="N39">
        <v>5.125</v>
      </c>
      <c r="O39">
        <v>7.75</v>
      </c>
      <c r="P39">
        <v>4.75</v>
      </c>
      <c r="Q39">
        <v>0</v>
      </c>
      <c r="R39">
        <v>0</v>
      </c>
      <c r="S39">
        <v>2</v>
      </c>
      <c r="T39">
        <v>3</v>
      </c>
      <c r="U39">
        <v>6</v>
      </c>
      <c r="V39">
        <v>1.5609999999999999</v>
      </c>
      <c r="W39">
        <v>0</v>
      </c>
      <c r="X39">
        <v>0</v>
      </c>
      <c r="Y39">
        <v>1</v>
      </c>
      <c r="Z39">
        <v>0.33399999999999963</v>
      </c>
      <c r="AA39">
        <v>4</v>
      </c>
      <c r="AB39">
        <v>0.20300000000000118</v>
      </c>
      <c r="AC39">
        <v>0</v>
      </c>
    </row>
    <row r="40" spans="1:29" hidden="1" x14ac:dyDescent="0.3">
      <c r="A40">
        <v>5</v>
      </c>
      <c r="B40">
        <v>3</v>
      </c>
      <c r="C40">
        <v>4</v>
      </c>
      <c r="D40">
        <v>3</v>
      </c>
      <c r="E40">
        <v>8.75</v>
      </c>
      <c r="F40">
        <v>10.25</v>
      </c>
      <c r="G40">
        <v>9.6666666666666661</v>
      </c>
      <c r="H40">
        <v>7</v>
      </c>
      <c r="I40">
        <v>22</v>
      </c>
      <c r="J40">
        <v>7</v>
      </c>
      <c r="K40">
        <v>4</v>
      </c>
      <c r="L40">
        <v>26</v>
      </c>
      <c r="M40">
        <v>12.125</v>
      </c>
      <c r="N40">
        <v>10.375</v>
      </c>
      <c r="O40">
        <v>3.89</v>
      </c>
      <c r="P40">
        <v>5.3</v>
      </c>
      <c r="Q40">
        <v>3</v>
      </c>
      <c r="R40">
        <v>6</v>
      </c>
      <c r="S40">
        <v>1</v>
      </c>
      <c r="T40">
        <v>3</v>
      </c>
      <c r="U40">
        <v>3</v>
      </c>
      <c r="V40">
        <v>0.96399999999999997</v>
      </c>
      <c r="W40">
        <v>0</v>
      </c>
      <c r="X40">
        <v>0</v>
      </c>
      <c r="Y40">
        <v>1</v>
      </c>
      <c r="Z40">
        <v>0.5389999999999997</v>
      </c>
      <c r="AA40">
        <v>7</v>
      </c>
      <c r="AB40">
        <v>0.32900000000000063</v>
      </c>
      <c r="AC40">
        <v>0</v>
      </c>
    </row>
    <row r="41" spans="1:29" hidden="1" x14ac:dyDescent="0.3">
      <c r="A41">
        <v>5</v>
      </c>
      <c r="B41">
        <v>6</v>
      </c>
      <c r="C41">
        <v>4</v>
      </c>
      <c r="D41">
        <v>3</v>
      </c>
      <c r="E41">
        <v>15.5</v>
      </c>
      <c r="F41">
        <v>10.5</v>
      </c>
      <c r="G41">
        <v>14</v>
      </c>
      <c r="H41">
        <v>13</v>
      </c>
      <c r="I41">
        <v>4</v>
      </c>
      <c r="J41">
        <v>14</v>
      </c>
      <c r="K41">
        <v>4</v>
      </c>
      <c r="L41">
        <v>26</v>
      </c>
      <c r="M41">
        <v>12.125</v>
      </c>
      <c r="N41">
        <v>10.375</v>
      </c>
      <c r="O41">
        <v>10.5</v>
      </c>
      <c r="P41">
        <v>9.5</v>
      </c>
      <c r="Q41">
        <v>0</v>
      </c>
      <c r="R41">
        <v>0</v>
      </c>
      <c r="S41">
        <v>2</v>
      </c>
      <c r="T41">
        <v>3</v>
      </c>
      <c r="U41">
        <v>3</v>
      </c>
      <c r="V41">
        <v>2.851</v>
      </c>
      <c r="W41">
        <v>0</v>
      </c>
      <c r="X41">
        <v>0</v>
      </c>
      <c r="Z41">
        <v>0.64000000000000057</v>
      </c>
      <c r="AA41">
        <v>21</v>
      </c>
      <c r="AB41">
        <v>0.35700000000000109</v>
      </c>
      <c r="AC41">
        <v>0</v>
      </c>
    </row>
    <row r="42" spans="1:29" hidden="1" x14ac:dyDescent="0.3">
      <c r="A42">
        <v>6</v>
      </c>
      <c r="B42">
        <v>63</v>
      </c>
      <c r="C42">
        <v>1</v>
      </c>
      <c r="D42">
        <v>1</v>
      </c>
      <c r="E42">
        <v>6</v>
      </c>
      <c r="F42">
        <v>2.2000000000000002</v>
      </c>
      <c r="G42">
        <v>9</v>
      </c>
      <c r="H42">
        <v>2.6666666666666665</v>
      </c>
      <c r="I42">
        <v>88</v>
      </c>
      <c r="J42">
        <v>2</v>
      </c>
      <c r="K42">
        <v>1</v>
      </c>
      <c r="L42">
        <v>219</v>
      </c>
      <c r="M42">
        <v>3.6</v>
      </c>
      <c r="N42">
        <v>1.8</v>
      </c>
      <c r="O42">
        <v>9.57</v>
      </c>
      <c r="P42">
        <v>10.43</v>
      </c>
      <c r="Q42">
        <v>0</v>
      </c>
      <c r="R42">
        <v>0</v>
      </c>
      <c r="S42">
        <v>1</v>
      </c>
      <c r="T42">
        <v>1</v>
      </c>
      <c r="U42">
        <v>9</v>
      </c>
      <c r="V42">
        <v>1.0049999999999999</v>
      </c>
      <c r="W42">
        <v>0.379</v>
      </c>
      <c r="X42">
        <v>0.76300000000000001</v>
      </c>
      <c r="Y42">
        <v>0</v>
      </c>
      <c r="Z42">
        <v>0</v>
      </c>
      <c r="AA42">
        <v>0</v>
      </c>
      <c r="AB42">
        <v>0.39400000000000013</v>
      </c>
      <c r="AC42">
        <v>0</v>
      </c>
    </row>
    <row r="43" spans="1:29" hidden="1" x14ac:dyDescent="0.3">
      <c r="A43">
        <v>6</v>
      </c>
      <c r="B43">
        <v>12</v>
      </c>
      <c r="C43">
        <v>1</v>
      </c>
      <c r="D43">
        <v>1</v>
      </c>
      <c r="E43">
        <v>1.2</v>
      </c>
      <c r="F43">
        <v>1.4</v>
      </c>
      <c r="G43">
        <v>1</v>
      </c>
      <c r="H43">
        <v>1.3333333333333333</v>
      </c>
      <c r="I43">
        <v>131</v>
      </c>
      <c r="J43">
        <v>1</v>
      </c>
      <c r="K43">
        <v>1</v>
      </c>
      <c r="L43">
        <v>219</v>
      </c>
      <c r="M43">
        <v>3.6</v>
      </c>
      <c r="N43">
        <v>1.8</v>
      </c>
      <c r="O43">
        <v>9.5</v>
      </c>
      <c r="P43">
        <v>8</v>
      </c>
      <c r="Q43">
        <v>0</v>
      </c>
      <c r="R43">
        <v>0</v>
      </c>
      <c r="S43">
        <v>0</v>
      </c>
      <c r="T43">
        <v>1</v>
      </c>
      <c r="U43">
        <v>9</v>
      </c>
      <c r="V43">
        <v>0.55900000000000005</v>
      </c>
      <c r="W43">
        <v>0.503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</row>
    <row r="44" spans="1:29" hidden="1" x14ac:dyDescent="0.3">
      <c r="A44">
        <v>6</v>
      </c>
      <c r="B44">
        <v>16</v>
      </c>
      <c r="C44">
        <v>2</v>
      </c>
      <c r="D44">
        <v>2</v>
      </c>
      <c r="E44">
        <v>4.4000000000000004</v>
      </c>
      <c r="F44">
        <v>4.5999999999999996</v>
      </c>
      <c r="G44">
        <v>5</v>
      </c>
      <c r="H44">
        <v>5</v>
      </c>
      <c r="I44">
        <v>75</v>
      </c>
      <c r="J44">
        <v>3</v>
      </c>
      <c r="K44">
        <v>2</v>
      </c>
      <c r="L44">
        <v>147</v>
      </c>
      <c r="M44">
        <v>4.3000000000000007</v>
      </c>
      <c r="N44">
        <v>5</v>
      </c>
      <c r="O44">
        <v>6.2</v>
      </c>
      <c r="P44">
        <v>5.5</v>
      </c>
      <c r="Q44">
        <v>1</v>
      </c>
      <c r="R44">
        <v>2</v>
      </c>
      <c r="S44">
        <v>0</v>
      </c>
      <c r="T44">
        <v>0</v>
      </c>
      <c r="U44">
        <v>2</v>
      </c>
      <c r="V44">
        <v>0</v>
      </c>
      <c r="W44">
        <v>0.111</v>
      </c>
      <c r="X44">
        <v>0.32700000000000001</v>
      </c>
      <c r="Y44">
        <v>0</v>
      </c>
      <c r="Z44">
        <v>0</v>
      </c>
      <c r="AA44">
        <v>0</v>
      </c>
      <c r="AB44">
        <v>0.30000000000000071</v>
      </c>
      <c r="AC44">
        <v>0</v>
      </c>
    </row>
    <row r="45" spans="1:29" hidden="1" x14ac:dyDescent="0.3">
      <c r="A45">
        <v>6</v>
      </c>
      <c r="B45">
        <v>44</v>
      </c>
      <c r="C45">
        <v>2</v>
      </c>
      <c r="D45">
        <v>2</v>
      </c>
      <c r="E45">
        <v>4.2</v>
      </c>
      <c r="F45">
        <v>5.4</v>
      </c>
      <c r="G45">
        <v>4.666666666666667</v>
      </c>
      <c r="H45">
        <v>5.666666666666667</v>
      </c>
      <c r="I45">
        <v>72</v>
      </c>
      <c r="J45">
        <v>4</v>
      </c>
      <c r="K45">
        <v>2</v>
      </c>
      <c r="L45">
        <v>147</v>
      </c>
      <c r="M45">
        <v>4.3000000000000007</v>
      </c>
      <c r="N45">
        <v>5</v>
      </c>
      <c r="O45">
        <v>4.47</v>
      </c>
      <c r="P45">
        <v>5.42</v>
      </c>
      <c r="Q45">
        <v>3</v>
      </c>
      <c r="R45">
        <v>8</v>
      </c>
      <c r="S45">
        <v>0</v>
      </c>
      <c r="T45">
        <v>0</v>
      </c>
      <c r="U45">
        <v>2</v>
      </c>
      <c r="V45">
        <v>0.22600000000000001</v>
      </c>
      <c r="W45">
        <v>0</v>
      </c>
      <c r="X45">
        <v>0.33100000000000002</v>
      </c>
      <c r="Y45">
        <v>0</v>
      </c>
      <c r="Z45">
        <v>0</v>
      </c>
      <c r="AA45">
        <v>0</v>
      </c>
      <c r="AB45">
        <v>0.22799999999999976</v>
      </c>
      <c r="AC45">
        <v>0</v>
      </c>
    </row>
    <row r="46" spans="1:29" hidden="1" x14ac:dyDescent="0.3">
      <c r="A46">
        <v>6</v>
      </c>
      <c r="B46">
        <v>1</v>
      </c>
      <c r="C46">
        <v>3</v>
      </c>
      <c r="D46">
        <v>1</v>
      </c>
      <c r="E46">
        <v>10</v>
      </c>
      <c r="F46">
        <v>4.8</v>
      </c>
      <c r="G46">
        <v>8.3333333333333339</v>
      </c>
      <c r="H46">
        <v>4</v>
      </c>
      <c r="I46">
        <v>58</v>
      </c>
      <c r="J46">
        <v>5</v>
      </c>
      <c r="K46">
        <v>3</v>
      </c>
      <c r="L46">
        <v>106</v>
      </c>
      <c r="M46">
        <v>10.6</v>
      </c>
      <c r="N46">
        <v>4.8</v>
      </c>
      <c r="O46">
        <v>5.67</v>
      </c>
      <c r="P46">
        <v>6.43</v>
      </c>
      <c r="Q46">
        <v>1</v>
      </c>
      <c r="R46">
        <v>2</v>
      </c>
      <c r="S46">
        <v>2</v>
      </c>
      <c r="T46">
        <v>4</v>
      </c>
      <c r="U46">
        <v>9</v>
      </c>
      <c r="V46">
        <v>1.3129999999999999</v>
      </c>
      <c r="W46">
        <v>2.2480000000000002</v>
      </c>
      <c r="X46">
        <v>1.286</v>
      </c>
      <c r="Y46">
        <v>0</v>
      </c>
      <c r="Z46">
        <v>0</v>
      </c>
      <c r="AA46">
        <v>0</v>
      </c>
      <c r="AB46">
        <v>0.71400000000000041</v>
      </c>
      <c r="AC46">
        <v>0</v>
      </c>
    </row>
    <row r="47" spans="1:29" hidden="1" x14ac:dyDescent="0.3">
      <c r="A47">
        <v>6</v>
      </c>
      <c r="B47">
        <v>81</v>
      </c>
      <c r="C47">
        <v>3</v>
      </c>
      <c r="D47">
        <v>1</v>
      </c>
      <c r="E47">
        <v>11.2</v>
      </c>
      <c r="F47">
        <v>4.8</v>
      </c>
      <c r="G47">
        <v>5.333333333333333</v>
      </c>
      <c r="H47">
        <v>4.666666666666667</v>
      </c>
      <c r="I47">
        <v>48</v>
      </c>
      <c r="J47">
        <v>6</v>
      </c>
      <c r="K47">
        <v>3</v>
      </c>
      <c r="L47">
        <v>106</v>
      </c>
      <c r="M47">
        <v>10.6</v>
      </c>
      <c r="N47">
        <v>4.8</v>
      </c>
      <c r="O47">
        <v>5</v>
      </c>
      <c r="P47">
        <v>5.75</v>
      </c>
      <c r="Q47">
        <v>0</v>
      </c>
      <c r="R47">
        <v>2</v>
      </c>
      <c r="S47">
        <v>2</v>
      </c>
      <c r="T47">
        <v>4</v>
      </c>
      <c r="U47">
        <v>9</v>
      </c>
      <c r="V47">
        <v>1.587</v>
      </c>
      <c r="W47">
        <v>1.0620000000000001</v>
      </c>
      <c r="X47">
        <v>0.97799999999999998</v>
      </c>
      <c r="Y47">
        <v>0</v>
      </c>
      <c r="Z47">
        <v>0</v>
      </c>
      <c r="AA47">
        <v>0</v>
      </c>
      <c r="AB47">
        <v>0.5730000000000004</v>
      </c>
      <c r="AC47">
        <v>0</v>
      </c>
    </row>
    <row r="48" spans="1:29" hidden="1" x14ac:dyDescent="0.3">
      <c r="A48">
        <v>6</v>
      </c>
      <c r="B48">
        <v>3</v>
      </c>
      <c r="C48">
        <v>4</v>
      </c>
      <c r="D48">
        <v>3</v>
      </c>
      <c r="E48">
        <v>7.6</v>
      </c>
      <c r="F48">
        <v>9.4</v>
      </c>
      <c r="G48">
        <v>5.333333333333333</v>
      </c>
      <c r="H48">
        <v>6.333333333333333</v>
      </c>
      <c r="I48">
        <v>37</v>
      </c>
      <c r="J48">
        <v>7</v>
      </c>
      <c r="K48">
        <v>4</v>
      </c>
      <c r="L48">
        <v>51</v>
      </c>
      <c r="M48">
        <v>10.5</v>
      </c>
      <c r="N48">
        <v>9.6000000000000014</v>
      </c>
      <c r="O48">
        <v>4.13</v>
      </c>
      <c r="P48">
        <v>6.91</v>
      </c>
      <c r="Q48">
        <v>2</v>
      </c>
      <c r="R48">
        <v>3</v>
      </c>
      <c r="S48">
        <v>1</v>
      </c>
      <c r="T48">
        <v>4</v>
      </c>
      <c r="U48">
        <v>5</v>
      </c>
      <c r="V48">
        <v>0.51300000000000001</v>
      </c>
      <c r="W48">
        <v>0.16800000000000001</v>
      </c>
      <c r="X48">
        <v>0.94199999999999995</v>
      </c>
      <c r="Y48">
        <v>0</v>
      </c>
      <c r="Z48">
        <v>0</v>
      </c>
      <c r="AA48">
        <v>0</v>
      </c>
      <c r="AB48">
        <v>4.2999999999999261E-2</v>
      </c>
      <c r="AC48">
        <v>0</v>
      </c>
    </row>
    <row r="49" spans="1:29" hidden="1" x14ac:dyDescent="0.3">
      <c r="A49">
        <v>6</v>
      </c>
      <c r="B49">
        <v>6</v>
      </c>
      <c r="C49">
        <v>4</v>
      </c>
      <c r="D49">
        <v>3</v>
      </c>
      <c r="E49">
        <v>13.4</v>
      </c>
      <c r="F49">
        <v>9.8000000000000007</v>
      </c>
      <c r="G49">
        <v>13</v>
      </c>
      <c r="H49">
        <v>12.333333333333334</v>
      </c>
      <c r="I49">
        <v>14</v>
      </c>
      <c r="J49">
        <v>11</v>
      </c>
      <c r="K49">
        <v>4</v>
      </c>
      <c r="L49">
        <v>51</v>
      </c>
      <c r="M49">
        <v>10.5</v>
      </c>
      <c r="N49">
        <v>9.6000000000000014</v>
      </c>
      <c r="O49">
        <v>5</v>
      </c>
      <c r="P49">
        <v>5</v>
      </c>
      <c r="Q49">
        <v>0</v>
      </c>
      <c r="R49">
        <v>0</v>
      </c>
      <c r="S49">
        <v>2</v>
      </c>
      <c r="T49">
        <v>4</v>
      </c>
      <c r="U49">
        <v>5</v>
      </c>
      <c r="V49">
        <v>2.17</v>
      </c>
      <c r="W49">
        <v>1.0609999999999999</v>
      </c>
      <c r="X49">
        <v>1.157</v>
      </c>
      <c r="Y49">
        <v>0</v>
      </c>
      <c r="Z49">
        <v>0</v>
      </c>
      <c r="AA49">
        <v>0</v>
      </c>
      <c r="AB49">
        <v>0.38299999999999912</v>
      </c>
      <c r="AC49">
        <v>0</v>
      </c>
    </row>
    <row r="50" spans="1:29" hidden="1" x14ac:dyDescent="0.3">
      <c r="A50">
        <v>7</v>
      </c>
      <c r="B50">
        <v>63</v>
      </c>
      <c r="C50">
        <v>1</v>
      </c>
      <c r="D50">
        <v>1</v>
      </c>
      <c r="E50">
        <v>7</v>
      </c>
      <c r="F50">
        <v>2.8333333330000001</v>
      </c>
      <c r="G50">
        <v>11.66666667</v>
      </c>
      <c r="H50">
        <v>4</v>
      </c>
      <c r="I50">
        <v>88</v>
      </c>
      <c r="J50">
        <v>3</v>
      </c>
      <c r="K50">
        <v>1</v>
      </c>
      <c r="L50">
        <v>244</v>
      </c>
      <c r="M50">
        <v>4.0833333329999997</v>
      </c>
      <c r="N50">
        <v>2.0833333330000001</v>
      </c>
      <c r="O50">
        <v>8</v>
      </c>
      <c r="P50">
        <v>9.6300000000000008</v>
      </c>
      <c r="Q50">
        <v>0</v>
      </c>
      <c r="R50">
        <v>1</v>
      </c>
      <c r="S50">
        <v>1</v>
      </c>
      <c r="T50">
        <v>1</v>
      </c>
      <c r="U50">
        <v>10</v>
      </c>
      <c r="V50">
        <v>0</v>
      </c>
      <c r="W50">
        <v>8.9999999999999993E-3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hidden="1" x14ac:dyDescent="0.3">
      <c r="A51">
        <v>7</v>
      </c>
      <c r="B51">
        <v>12</v>
      </c>
      <c r="C51">
        <v>1</v>
      </c>
      <c r="D51">
        <v>1</v>
      </c>
      <c r="E51">
        <v>1.1666666670000001</v>
      </c>
      <c r="F51">
        <v>1.3333333329999999</v>
      </c>
      <c r="G51">
        <v>1</v>
      </c>
      <c r="H51">
        <v>1.3333333329999999</v>
      </c>
      <c r="I51">
        <v>156</v>
      </c>
      <c r="J51">
        <v>1</v>
      </c>
      <c r="K51">
        <v>1</v>
      </c>
      <c r="L51">
        <v>244</v>
      </c>
      <c r="M51">
        <v>4.0833333329999997</v>
      </c>
      <c r="N51">
        <v>2.0833333330000001</v>
      </c>
      <c r="O51">
        <v>17</v>
      </c>
      <c r="P51">
        <v>4.5</v>
      </c>
      <c r="Q51">
        <v>0</v>
      </c>
      <c r="R51">
        <v>0</v>
      </c>
      <c r="S51">
        <v>0</v>
      </c>
      <c r="T51">
        <v>1</v>
      </c>
      <c r="U51">
        <v>10</v>
      </c>
      <c r="V51">
        <v>0.05</v>
      </c>
      <c r="W51">
        <v>0.58899999999999997</v>
      </c>
      <c r="X51">
        <v>0.82099999999999995</v>
      </c>
      <c r="Y51">
        <v>0</v>
      </c>
      <c r="Z51">
        <v>0</v>
      </c>
      <c r="AA51">
        <v>0</v>
      </c>
      <c r="AB51">
        <v>0.31900000000000001</v>
      </c>
      <c r="AC51">
        <v>0</v>
      </c>
    </row>
    <row r="52" spans="1:29" hidden="1" x14ac:dyDescent="0.3">
      <c r="A52">
        <v>7</v>
      </c>
      <c r="B52">
        <v>16</v>
      </c>
      <c r="C52">
        <v>2</v>
      </c>
      <c r="D52">
        <v>2</v>
      </c>
      <c r="E52">
        <v>6.5</v>
      </c>
      <c r="F52">
        <v>4.5</v>
      </c>
      <c r="G52">
        <v>9.6666666669999994</v>
      </c>
      <c r="H52">
        <v>5</v>
      </c>
      <c r="I52">
        <v>75</v>
      </c>
      <c r="J52">
        <v>4</v>
      </c>
      <c r="K52">
        <v>2</v>
      </c>
      <c r="L52">
        <v>165</v>
      </c>
      <c r="M52">
        <v>5.1666666670000003</v>
      </c>
      <c r="N52">
        <v>4.75</v>
      </c>
      <c r="O52">
        <v>7.57</v>
      </c>
      <c r="P52">
        <v>8.2200000000000006</v>
      </c>
      <c r="Q52">
        <v>0</v>
      </c>
      <c r="R52">
        <v>1</v>
      </c>
      <c r="S52">
        <v>1</v>
      </c>
      <c r="T52">
        <v>1</v>
      </c>
      <c r="U52">
        <v>3</v>
      </c>
      <c r="V52">
        <v>0.52</v>
      </c>
      <c r="W52">
        <v>0.373</v>
      </c>
      <c r="X52">
        <v>0.24299999999999999</v>
      </c>
      <c r="Y52">
        <v>0</v>
      </c>
      <c r="Z52">
        <v>0</v>
      </c>
      <c r="AA52">
        <v>0</v>
      </c>
      <c r="AB52">
        <v>26.32</v>
      </c>
      <c r="AC52">
        <v>0</v>
      </c>
    </row>
    <row r="53" spans="1:29" hidden="1" x14ac:dyDescent="0.3">
      <c r="A53">
        <v>7</v>
      </c>
      <c r="B53">
        <v>44</v>
      </c>
      <c r="C53">
        <v>2</v>
      </c>
      <c r="D53">
        <v>2</v>
      </c>
      <c r="E53">
        <v>3.8333333330000001</v>
      </c>
      <c r="F53">
        <v>5</v>
      </c>
      <c r="G53">
        <v>3.3333333330000001</v>
      </c>
      <c r="H53">
        <v>4.6666666670000003</v>
      </c>
      <c r="I53">
        <v>90</v>
      </c>
      <c r="J53">
        <v>2</v>
      </c>
      <c r="K53">
        <v>2</v>
      </c>
      <c r="L53">
        <v>165</v>
      </c>
      <c r="M53">
        <v>5.1666666670000003</v>
      </c>
      <c r="N53">
        <v>4.75</v>
      </c>
      <c r="O53">
        <v>3.95</v>
      </c>
      <c r="P53">
        <v>4.25</v>
      </c>
      <c r="Q53">
        <v>7</v>
      </c>
      <c r="R53">
        <v>12</v>
      </c>
      <c r="S53">
        <v>0</v>
      </c>
      <c r="T53">
        <v>1</v>
      </c>
      <c r="U53">
        <v>3</v>
      </c>
      <c r="V53">
        <v>0.52</v>
      </c>
      <c r="W53">
        <v>1.2050000000000001</v>
      </c>
      <c r="X53">
        <v>0.70199999999999996</v>
      </c>
      <c r="Y53">
        <v>0</v>
      </c>
      <c r="Z53">
        <v>0</v>
      </c>
      <c r="AA53">
        <v>0</v>
      </c>
      <c r="AB53">
        <v>6.4000000000000001E-2</v>
      </c>
      <c r="AC53">
        <v>1</v>
      </c>
    </row>
    <row r="54" spans="1:29" hidden="1" x14ac:dyDescent="0.3">
      <c r="A54">
        <v>7</v>
      </c>
      <c r="B54">
        <v>1</v>
      </c>
      <c r="C54">
        <v>3</v>
      </c>
      <c r="D54">
        <v>1</v>
      </c>
      <c r="E54">
        <v>11.5</v>
      </c>
      <c r="F54">
        <v>5.3333333329999997</v>
      </c>
      <c r="G54">
        <v>13</v>
      </c>
      <c r="H54">
        <v>5</v>
      </c>
      <c r="I54">
        <v>58</v>
      </c>
      <c r="J54">
        <v>5</v>
      </c>
      <c r="K54">
        <v>3</v>
      </c>
      <c r="L54">
        <v>111</v>
      </c>
      <c r="M54">
        <v>10.83333333</v>
      </c>
      <c r="N54">
        <v>5.25</v>
      </c>
      <c r="O54">
        <v>7.14</v>
      </c>
      <c r="P54">
        <v>6</v>
      </c>
      <c r="Q54">
        <v>0</v>
      </c>
      <c r="R54">
        <v>3</v>
      </c>
      <c r="S54">
        <v>3</v>
      </c>
      <c r="T54">
        <v>5</v>
      </c>
      <c r="U54">
        <v>10</v>
      </c>
      <c r="V54">
        <v>0.183</v>
      </c>
      <c r="W54">
        <v>0</v>
      </c>
      <c r="X54">
        <v>0.246</v>
      </c>
      <c r="Y54">
        <v>0</v>
      </c>
      <c r="Z54">
        <v>0</v>
      </c>
      <c r="AA54">
        <v>0</v>
      </c>
      <c r="AB54">
        <v>0.32200000000000001</v>
      </c>
      <c r="AC54">
        <v>0</v>
      </c>
    </row>
    <row r="55" spans="1:29" hidden="1" x14ac:dyDescent="0.3">
      <c r="A55">
        <v>7</v>
      </c>
      <c r="B55">
        <v>81</v>
      </c>
      <c r="C55">
        <v>3</v>
      </c>
      <c r="D55">
        <v>1</v>
      </c>
      <c r="E55">
        <v>10.16666667</v>
      </c>
      <c r="F55">
        <v>5.1666666670000003</v>
      </c>
      <c r="G55">
        <v>6.3333333329999997</v>
      </c>
      <c r="H55">
        <v>6</v>
      </c>
      <c r="I55">
        <v>53</v>
      </c>
      <c r="J55">
        <v>6</v>
      </c>
      <c r="K55">
        <v>3</v>
      </c>
      <c r="L55">
        <v>111</v>
      </c>
      <c r="M55">
        <v>10.83333333</v>
      </c>
      <c r="N55">
        <v>5.25</v>
      </c>
      <c r="O55">
        <v>6.5</v>
      </c>
      <c r="P55">
        <v>6.5</v>
      </c>
      <c r="Q55">
        <v>1</v>
      </c>
      <c r="R55">
        <v>1</v>
      </c>
      <c r="S55">
        <v>2</v>
      </c>
      <c r="T55">
        <v>5</v>
      </c>
      <c r="U55">
        <v>10</v>
      </c>
      <c r="V55">
        <v>0.20300000000000001</v>
      </c>
      <c r="W55">
        <v>5.7000000000000002E-2</v>
      </c>
      <c r="X55">
        <v>0.214</v>
      </c>
      <c r="Y55">
        <v>0</v>
      </c>
      <c r="Z55">
        <v>0</v>
      </c>
      <c r="AA55">
        <v>0</v>
      </c>
      <c r="AB55">
        <v>0.41099999999999998</v>
      </c>
      <c r="AC55">
        <v>0</v>
      </c>
    </row>
    <row r="56" spans="1:29" hidden="1" x14ac:dyDescent="0.3">
      <c r="A56">
        <v>7</v>
      </c>
      <c r="B56">
        <v>3</v>
      </c>
      <c r="C56">
        <v>4</v>
      </c>
      <c r="D56">
        <v>3</v>
      </c>
      <c r="E56">
        <v>10</v>
      </c>
      <c r="F56">
        <v>8.1666666669999994</v>
      </c>
      <c r="G56">
        <v>10</v>
      </c>
      <c r="H56">
        <v>3.3333333330000001</v>
      </c>
      <c r="I56">
        <v>37</v>
      </c>
      <c r="J56">
        <v>7</v>
      </c>
      <c r="K56">
        <v>4</v>
      </c>
      <c r="L56">
        <v>63</v>
      </c>
      <c r="M56">
        <v>10.91666667</v>
      </c>
      <c r="N56">
        <v>8.5833333330000006</v>
      </c>
      <c r="O56">
        <v>3.55</v>
      </c>
      <c r="P56">
        <v>3.5</v>
      </c>
      <c r="Q56">
        <v>4</v>
      </c>
      <c r="R56">
        <v>8</v>
      </c>
      <c r="S56">
        <v>2</v>
      </c>
      <c r="T56">
        <v>4</v>
      </c>
      <c r="U56">
        <v>6</v>
      </c>
      <c r="V56">
        <v>0.68400000000000005</v>
      </c>
      <c r="W56">
        <v>0.89500000000000002</v>
      </c>
      <c r="X56">
        <v>0.755</v>
      </c>
      <c r="Y56">
        <v>0</v>
      </c>
      <c r="Z56">
        <v>0</v>
      </c>
      <c r="AA56">
        <v>0</v>
      </c>
      <c r="AB56">
        <v>0.34200000000000003</v>
      </c>
      <c r="AC56">
        <v>0</v>
      </c>
    </row>
    <row r="57" spans="1:29" hidden="1" x14ac:dyDescent="0.3">
      <c r="A57">
        <v>7</v>
      </c>
      <c r="B57">
        <v>6</v>
      </c>
      <c r="C57">
        <v>4</v>
      </c>
      <c r="D57">
        <v>3</v>
      </c>
      <c r="E57">
        <v>11.83333333</v>
      </c>
      <c r="F57">
        <v>9</v>
      </c>
      <c r="G57">
        <v>10.33333333</v>
      </c>
      <c r="H57">
        <v>11.33333333</v>
      </c>
      <c r="I57">
        <v>26</v>
      </c>
      <c r="J57">
        <v>10</v>
      </c>
      <c r="K57">
        <v>4</v>
      </c>
      <c r="L57">
        <v>63</v>
      </c>
      <c r="M57">
        <v>10.91666667</v>
      </c>
      <c r="N57">
        <v>8.5833333330000006</v>
      </c>
      <c r="O57">
        <v>6.5</v>
      </c>
      <c r="P57">
        <v>7.5</v>
      </c>
      <c r="Q57">
        <v>0</v>
      </c>
      <c r="R57">
        <v>0</v>
      </c>
      <c r="S57">
        <v>2</v>
      </c>
      <c r="T57">
        <v>4</v>
      </c>
      <c r="U57">
        <v>6</v>
      </c>
      <c r="V57">
        <v>0.78400000000000003</v>
      </c>
      <c r="W57">
        <v>1.248</v>
      </c>
      <c r="X57">
        <v>1.0049999999999999</v>
      </c>
      <c r="Y57">
        <v>0</v>
      </c>
      <c r="Z57">
        <v>0</v>
      </c>
      <c r="AA57">
        <v>0</v>
      </c>
      <c r="AB57">
        <v>0.39800000000000002</v>
      </c>
      <c r="AC57">
        <v>0</v>
      </c>
    </row>
    <row r="58" spans="1:29" x14ac:dyDescent="0.3">
      <c r="A58">
        <v>8</v>
      </c>
      <c r="B58">
        <v>63</v>
      </c>
      <c r="C58">
        <v>1</v>
      </c>
      <c r="D58">
        <v>1</v>
      </c>
      <c r="E58">
        <v>6.2857142860000002</v>
      </c>
      <c r="F58">
        <v>2.5714285710000002</v>
      </c>
      <c r="G58">
        <v>11</v>
      </c>
      <c r="H58">
        <v>2.6666666669999999</v>
      </c>
      <c r="I58">
        <v>106</v>
      </c>
      <c r="J58">
        <v>3</v>
      </c>
      <c r="K58">
        <v>1</v>
      </c>
      <c r="L58">
        <v>262</v>
      </c>
      <c r="M58">
        <v>4.7857142860000002</v>
      </c>
      <c r="N58">
        <v>2.0714285710000002</v>
      </c>
      <c r="O58">
        <v>7.67</v>
      </c>
      <c r="P58">
        <v>9.7100000000000009</v>
      </c>
      <c r="Q58">
        <v>1</v>
      </c>
      <c r="R58">
        <v>1</v>
      </c>
      <c r="S58">
        <v>1</v>
      </c>
      <c r="T58">
        <v>2</v>
      </c>
      <c r="U58">
        <v>12</v>
      </c>
      <c r="V58">
        <v>0.04</v>
      </c>
      <c r="W58">
        <v>0.623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</row>
    <row r="59" spans="1:29" x14ac:dyDescent="0.3">
      <c r="A59">
        <v>8</v>
      </c>
      <c r="B59">
        <v>12</v>
      </c>
      <c r="C59">
        <v>1</v>
      </c>
      <c r="D59">
        <v>1</v>
      </c>
      <c r="E59">
        <v>3.2857142860000002</v>
      </c>
      <c r="F59">
        <v>1.571428571</v>
      </c>
      <c r="G59">
        <v>6</v>
      </c>
      <c r="H59">
        <v>2</v>
      </c>
      <c r="I59">
        <v>156</v>
      </c>
      <c r="J59">
        <v>1</v>
      </c>
      <c r="K59">
        <v>1</v>
      </c>
      <c r="L59">
        <v>262</v>
      </c>
      <c r="M59">
        <v>4.7857142860000002</v>
      </c>
      <c r="N59">
        <v>2.0714285710000002</v>
      </c>
      <c r="O59">
        <v>20</v>
      </c>
      <c r="P59">
        <v>9</v>
      </c>
      <c r="Q59">
        <v>0</v>
      </c>
      <c r="R59">
        <v>0</v>
      </c>
      <c r="S59">
        <v>1</v>
      </c>
      <c r="T59">
        <v>2</v>
      </c>
      <c r="U59">
        <v>12</v>
      </c>
      <c r="V59">
        <v>0</v>
      </c>
      <c r="W59">
        <v>0</v>
      </c>
      <c r="X59">
        <v>3.7999999999999999E-2</v>
      </c>
      <c r="Y59">
        <v>0</v>
      </c>
      <c r="Z59">
        <v>0</v>
      </c>
      <c r="AA59">
        <v>0</v>
      </c>
      <c r="AB59">
        <v>0.30099999999999999</v>
      </c>
      <c r="AC59">
        <v>0</v>
      </c>
    </row>
    <row r="60" spans="1:29" x14ac:dyDescent="0.3">
      <c r="A60">
        <v>8</v>
      </c>
      <c r="B60">
        <v>16</v>
      </c>
      <c r="C60">
        <v>2</v>
      </c>
      <c r="D60">
        <v>2</v>
      </c>
      <c r="E60">
        <v>7.7142857139999998</v>
      </c>
      <c r="F60">
        <v>5.2857142860000002</v>
      </c>
      <c r="G60">
        <v>12</v>
      </c>
      <c r="H60">
        <v>7.3333333329999997</v>
      </c>
      <c r="I60">
        <v>75</v>
      </c>
      <c r="J60">
        <v>4</v>
      </c>
      <c r="K60">
        <v>2</v>
      </c>
      <c r="L60">
        <v>190</v>
      </c>
      <c r="M60">
        <v>5.5714285710000002</v>
      </c>
      <c r="N60">
        <v>4.9285714289999998</v>
      </c>
      <c r="O60">
        <v>4.75</v>
      </c>
      <c r="P60">
        <v>6.13</v>
      </c>
      <c r="Q60">
        <v>1</v>
      </c>
      <c r="R60">
        <v>5</v>
      </c>
      <c r="S60">
        <v>2</v>
      </c>
      <c r="T60">
        <v>2</v>
      </c>
      <c r="U60">
        <v>4</v>
      </c>
      <c r="W60">
        <v>0.84099999999999997</v>
      </c>
      <c r="X60">
        <v>0.35599999999999998</v>
      </c>
      <c r="Y60">
        <v>0</v>
      </c>
      <c r="Z60">
        <v>0</v>
      </c>
      <c r="AA60">
        <v>0</v>
      </c>
      <c r="AB60">
        <v>0.23599999999999999</v>
      </c>
      <c r="AC60">
        <v>0</v>
      </c>
    </row>
    <row r="61" spans="1:29" x14ac:dyDescent="0.3">
      <c r="A61">
        <v>8</v>
      </c>
      <c r="B61">
        <v>44</v>
      </c>
      <c r="C61">
        <v>2</v>
      </c>
      <c r="D61">
        <v>2</v>
      </c>
      <c r="E61">
        <v>3.4285714289999998</v>
      </c>
      <c r="F61">
        <v>4.5714285710000002</v>
      </c>
      <c r="G61">
        <v>1.6666666670000001</v>
      </c>
      <c r="H61">
        <v>3.3333333330000001</v>
      </c>
      <c r="I61">
        <v>115</v>
      </c>
      <c r="J61">
        <v>2</v>
      </c>
      <c r="K61">
        <v>2</v>
      </c>
      <c r="L61">
        <v>190</v>
      </c>
      <c r="M61">
        <v>5.5714285710000002</v>
      </c>
      <c r="N61">
        <v>4.9285714289999998</v>
      </c>
      <c r="O61">
        <v>3.37</v>
      </c>
      <c r="P61">
        <v>4.67</v>
      </c>
      <c r="Q61">
        <v>2</v>
      </c>
      <c r="R61">
        <v>4</v>
      </c>
      <c r="S61">
        <v>0</v>
      </c>
      <c r="T61">
        <v>2</v>
      </c>
      <c r="U61">
        <v>4</v>
      </c>
      <c r="V61">
        <v>0.66500000000000004</v>
      </c>
      <c r="W61">
        <v>0.59699999999999998</v>
      </c>
      <c r="X61">
        <v>0.115</v>
      </c>
      <c r="Y61">
        <v>0</v>
      </c>
      <c r="Z61">
        <v>0</v>
      </c>
      <c r="AA61">
        <v>0</v>
      </c>
      <c r="AB61">
        <v>0.29499999999999998</v>
      </c>
      <c r="AC61">
        <v>0</v>
      </c>
    </row>
    <row r="62" spans="1:29" x14ac:dyDescent="0.3">
      <c r="A62">
        <v>8</v>
      </c>
      <c r="B62">
        <v>1</v>
      </c>
      <c r="C62">
        <v>3</v>
      </c>
      <c r="D62">
        <v>1</v>
      </c>
      <c r="E62">
        <v>10.28571429</v>
      </c>
      <c r="F62">
        <v>5.1428571429999996</v>
      </c>
      <c r="G62">
        <v>13.33333333</v>
      </c>
      <c r="H62">
        <v>5</v>
      </c>
      <c r="I62">
        <v>73</v>
      </c>
      <c r="J62">
        <v>5</v>
      </c>
      <c r="K62">
        <v>3</v>
      </c>
      <c r="L62">
        <v>141</v>
      </c>
      <c r="M62">
        <v>9.8571428569999995</v>
      </c>
      <c r="N62">
        <v>5.2857142860000002</v>
      </c>
      <c r="O62">
        <v>6.29</v>
      </c>
      <c r="P62">
        <v>3.86</v>
      </c>
      <c r="Q62">
        <v>1</v>
      </c>
      <c r="R62">
        <v>3</v>
      </c>
      <c r="S62">
        <v>3</v>
      </c>
      <c r="T62">
        <v>5</v>
      </c>
      <c r="U62">
        <v>12</v>
      </c>
      <c r="V62">
        <v>1.077</v>
      </c>
      <c r="W62">
        <v>0.32500000000000001</v>
      </c>
      <c r="X62">
        <v>0.26400000000000001</v>
      </c>
      <c r="Y62">
        <v>0</v>
      </c>
      <c r="Z62">
        <v>0</v>
      </c>
      <c r="AA62">
        <v>0</v>
      </c>
      <c r="AB62">
        <v>0.38900000000000001</v>
      </c>
      <c r="AC62">
        <v>0</v>
      </c>
    </row>
    <row r="63" spans="1:29" x14ac:dyDescent="0.3">
      <c r="A63">
        <v>8</v>
      </c>
      <c r="B63">
        <v>81</v>
      </c>
      <c r="C63">
        <v>3</v>
      </c>
      <c r="D63">
        <v>1</v>
      </c>
      <c r="E63">
        <v>9.4285714289999998</v>
      </c>
      <c r="F63">
        <v>5.4285714289999998</v>
      </c>
      <c r="G63">
        <v>7</v>
      </c>
      <c r="H63">
        <v>6</v>
      </c>
      <c r="I63">
        <v>68</v>
      </c>
      <c r="J63">
        <v>6</v>
      </c>
      <c r="K63">
        <v>3</v>
      </c>
      <c r="L63">
        <v>141</v>
      </c>
      <c r="M63">
        <v>9.8571428569999995</v>
      </c>
      <c r="N63">
        <v>5.2857142860000002</v>
      </c>
      <c r="O63">
        <v>6.6669999999999998</v>
      </c>
      <c r="P63">
        <v>7.67</v>
      </c>
      <c r="Q63">
        <v>0</v>
      </c>
      <c r="R63">
        <v>2</v>
      </c>
      <c r="S63">
        <v>2</v>
      </c>
      <c r="T63">
        <v>5</v>
      </c>
      <c r="U63">
        <v>12</v>
      </c>
      <c r="V63">
        <v>0.11700000000000001</v>
      </c>
      <c r="W63">
        <v>0.23699999999999999</v>
      </c>
      <c r="X63">
        <v>0.248</v>
      </c>
      <c r="Y63">
        <v>0</v>
      </c>
      <c r="Z63">
        <v>0</v>
      </c>
      <c r="AA63">
        <v>0</v>
      </c>
      <c r="AB63">
        <v>0.39800000000000002</v>
      </c>
      <c r="AC63">
        <v>0</v>
      </c>
    </row>
    <row r="64" spans="1:29" x14ac:dyDescent="0.3">
      <c r="A64">
        <v>8</v>
      </c>
      <c r="B64">
        <v>3</v>
      </c>
      <c r="C64">
        <v>4</v>
      </c>
      <c r="D64">
        <v>3</v>
      </c>
      <c r="E64">
        <v>9.1428571430000005</v>
      </c>
      <c r="F64">
        <v>7.7142857139999998</v>
      </c>
      <c r="G64">
        <v>9.6666666669999994</v>
      </c>
      <c r="H64">
        <v>4.3333333329999997</v>
      </c>
      <c r="I64">
        <v>55</v>
      </c>
      <c r="J64">
        <v>7</v>
      </c>
      <c r="K64">
        <v>4</v>
      </c>
      <c r="L64">
        <v>89</v>
      </c>
      <c r="M64">
        <v>10.07142857</v>
      </c>
      <c r="N64">
        <v>8.1428571430000005</v>
      </c>
      <c r="O64">
        <v>2.63</v>
      </c>
      <c r="P64">
        <v>3.55</v>
      </c>
      <c r="Q64">
        <v>4</v>
      </c>
      <c r="R64">
        <v>6</v>
      </c>
      <c r="S64">
        <v>2</v>
      </c>
      <c r="T64">
        <v>4</v>
      </c>
      <c r="U64">
        <v>6</v>
      </c>
      <c r="V64">
        <v>0.28100000000000003</v>
      </c>
      <c r="W64">
        <v>0.55000000000000004</v>
      </c>
      <c r="X64">
        <v>0.27300000000000002</v>
      </c>
      <c r="Y64">
        <v>0</v>
      </c>
      <c r="Z64">
        <v>0</v>
      </c>
      <c r="AA64">
        <v>0</v>
      </c>
      <c r="AB64">
        <v>0.36199999999999999</v>
      </c>
      <c r="AC64">
        <v>0</v>
      </c>
    </row>
    <row r="65" spans="1:29" x14ac:dyDescent="0.3">
      <c r="A65">
        <v>8</v>
      </c>
      <c r="B65">
        <v>6</v>
      </c>
      <c r="C65">
        <v>4</v>
      </c>
      <c r="D65">
        <v>3</v>
      </c>
      <c r="E65">
        <v>11</v>
      </c>
      <c r="F65">
        <v>8.5714285710000002</v>
      </c>
      <c r="G65">
        <v>5</v>
      </c>
      <c r="H65">
        <v>6</v>
      </c>
      <c r="I65">
        <v>34</v>
      </c>
      <c r="J65">
        <v>9</v>
      </c>
      <c r="K65">
        <v>4</v>
      </c>
      <c r="L65">
        <v>89</v>
      </c>
      <c r="M65">
        <v>10.07142857</v>
      </c>
      <c r="N65">
        <v>8.1428571430000005</v>
      </c>
      <c r="O65">
        <v>12</v>
      </c>
      <c r="P65">
        <v>13</v>
      </c>
      <c r="Q65">
        <v>0</v>
      </c>
      <c r="R65">
        <v>0</v>
      </c>
      <c r="S65">
        <v>2</v>
      </c>
      <c r="T65">
        <v>4</v>
      </c>
      <c r="U65">
        <v>6</v>
      </c>
      <c r="V65">
        <v>1.6850000000000001</v>
      </c>
      <c r="W65">
        <v>0.74399999999999999</v>
      </c>
      <c r="X65">
        <v>0.81599999999999995</v>
      </c>
      <c r="Y65">
        <v>0</v>
      </c>
      <c r="Z65">
        <v>0</v>
      </c>
      <c r="AA65">
        <v>0</v>
      </c>
      <c r="AB65">
        <v>0.51900000000000002</v>
      </c>
      <c r="AC65">
        <v>0</v>
      </c>
    </row>
  </sheetData>
  <autoFilter ref="A1:AC65" xr:uid="{D847FF86-71ED-434F-BC02-84A9F7B6FAAB}">
    <filterColumn colId="0">
      <filters>
        <filter val="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27BF-0F17-4C07-82C8-1074E0E74815}">
  <dimension ref="A1:AC9"/>
  <sheetViews>
    <sheetView workbookViewId="0">
      <selection activeCell="E2" sqref="E2:R9"/>
    </sheetView>
  </sheetViews>
  <sheetFormatPr defaultRowHeight="14.4" x14ac:dyDescent="0.3"/>
  <cols>
    <col min="16" max="16" width="18.5546875" bestFit="1" customWidth="1"/>
    <col min="17" max="17" width="10.109375" bestFit="1" customWidth="1"/>
    <col min="18" max="18" width="13.77734375" bestFit="1" customWidth="1"/>
    <col min="19" max="19" width="25.6640625" bestFit="1" customWidth="1"/>
    <col min="20" max="20" width="32.6640625" bestFit="1" customWidth="1"/>
    <col min="21" max="21" width="47.33203125" bestFit="1" customWidth="1"/>
    <col min="22" max="23" width="17.6640625" bestFit="1" customWidth="1"/>
  </cols>
  <sheetData>
    <row r="1" spans="1:29" x14ac:dyDescent="0.3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152</v>
      </c>
      <c r="Z1" t="s">
        <v>153</v>
      </c>
      <c r="AA1" t="s">
        <v>154</v>
      </c>
      <c r="AB1" t="s">
        <v>23</v>
      </c>
      <c r="AC1" t="s">
        <v>24</v>
      </c>
    </row>
    <row r="2" spans="1:29" x14ac:dyDescent="0.3">
      <c r="A2">
        <v>7</v>
      </c>
      <c r="B2">
        <v>63</v>
      </c>
      <c r="C2">
        <v>1</v>
      </c>
      <c r="D2">
        <v>1</v>
      </c>
      <c r="E2">
        <v>5.625</v>
      </c>
      <c r="F2">
        <v>2.375</v>
      </c>
      <c r="G2">
        <v>5</v>
      </c>
      <c r="H2">
        <v>2.6666666666666665</v>
      </c>
      <c r="I2">
        <v>131</v>
      </c>
      <c r="J2">
        <v>2</v>
      </c>
      <c r="K2">
        <v>1</v>
      </c>
      <c r="L2">
        <f>I2+I3</f>
        <v>302</v>
      </c>
      <c r="M2">
        <v>4.083333333333333</v>
      </c>
      <c r="N2">
        <v>2.0833333333333335</v>
      </c>
      <c r="O2">
        <v>11.83</v>
      </c>
      <c r="P2">
        <v>10.63</v>
      </c>
      <c r="Q2">
        <v>0</v>
      </c>
      <c r="R2">
        <v>0</v>
      </c>
    </row>
    <row r="3" spans="1:29" x14ac:dyDescent="0.3">
      <c r="A3">
        <v>7</v>
      </c>
      <c r="B3">
        <v>12</v>
      </c>
      <c r="C3">
        <v>1</v>
      </c>
      <c r="D3">
        <v>1</v>
      </c>
      <c r="E3">
        <v>3.25</v>
      </c>
      <c r="F3">
        <v>1.875</v>
      </c>
      <c r="G3">
        <v>6.666666666666667</v>
      </c>
      <c r="H3">
        <v>2.6666666666666665</v>
      </c>
      <c r="I3">
        <v>171</v>
      </c>
      <c r="J3">
        <v>1</v>
      </c>
      <c r="K3">
        <v>1</v>
      </c>
      <c r="L3">
        <f>L2</f>
        <v>302</v>
      </c>
      <c r="M3">
        <v>4.083333333333333</v>
      </c>
      <c r="N3">
        <v>2.0833333333333335</v>
      </c>
      <c r="O3">
        <v>16</v>
      </c>
      <c r="P3">
        <v>7</v>
      </c>
      <c r="Q3">
        <v>0</v>
      </c>
      <c r="R3">
        <v>0</v>
      </c>
    </row>
    <row r="4" spans="1:29" x14ac:dyDescent="0.3">
      <c r="A4">
        <v>7</v>
      </c>
      <c r="B4">
        <v>16</v>
      </c>
      <c r="C4">
        <v>2</v>
      </c>
      <c r="D4">
        <v>2</v>
      </c>
      <c r="E4">
        <v>7.75</v>
      </c>
      <c r="F4">
        <v>4.875</v>
      </c>
      <c r="G4">
        <v>13.333333333333334</v>
      </c>
      <c r="H4">
        <v>5.333333333333333</v>
      </c>
      <c r="I4">
        <v>79</v>
      </c>
      <c r="J4">
        <v>6</v>
      </c>
      <c r="K4">
        <v>2</v>
      </c>
      <c r="L4">
        <f t="shared" ref="L3:L9" si="0">I4+I5</f>
        <v>204</v>
      </c>
      <c r="M4">
        <v>5.166666666666667</v>
      </c>
      <c r="N4">
        <v>4.75</v>
      </c>
      <c r="O4">
        <v>6.63</v>
      </c>
      <c r="P4">
        <v>5.78</v>
      </c>
      <c r="Q4">
        <v>0</v>
      </c>
      <c r="R4">
        <v>3</v>
      </c>
    </row>
    <row r="5" spans="1:29" x14ac:dyDescent="0.3">
      <c r="A5">
        <v>7</v>
      </c>
      <c r="B5">
        <v>44</v>
      </c>
      <c r="C5">
        <v>2</v>
      </c>
      <c r="D5">
        <v>2</v>
      </c>
      <c r="E5">
        <v>3.625</v>
      </c>
      <c r="F5">
        <v>4.375</v>
      </c>
      <c r="G5">
        <v>2.6666666666666665</v>
      </c>
      <c r="H5">
        <v>2.6666666666666665</v>
      </c>
      <c r="I5">
        <v>125</v>
      </c>
      <c r="J5">
        <v>3</v>
      </c>
      <c r="K5">
        <v>2</v>
      </c>
      <c r="L5">
        <f>L4</f>
        <v>204</v>
      </c>
      <c r="M5">
        <v>5.166666666666667</v>
      </c>
      <c r="N5">
        <v>4.75</v>
      </c>
      <c r="O5">
        <v>3</v>
      </c>
      <c r="P5">
        <v>4.0999999999999996</v>
      </c>
      <c r="Q5">
        <v>9</v>
      </c>
      <c r="R5">
        <v>15</v>
      </c>
    </row>
    <row r="6" spans="1:29" x14ac:dyDescent="0.3">
      <c r="A6">
        <v>7</v>
      </c>
      <c r="B6">
        <v>1</v>
      </c>
      <c r="C6">
        <v>3</v>
      </c>
      <c r="D6">
        <v>1</v>
      </c>
      <c r="E6">
        <v>9.875</v>
      </c>
      <c r="F6">
        <v>5.25</v>
      </c>
      <c r="G6">
        <v>9.6666666666666661</v>
      </c>
      <c r="H6">
        <v>6</v>
      </c>
      <c r="I6">
        <v>79</v>
      </c>
      <c r="J6">
        <v>5</v>
      </c>
      <c r="K6">
        <v>3</v>
      </c>
      <c r="L6">
        <f t="shared" si="0"/>
        <v>159</v>
      </c>
      <c r="M6">
        <v>10.833333333333332</v>
      </c>
      <c r="N6">
        <v>5.25</v>
      </c>
      <c r="O6">
        <v>5.13</v>
      </c>
      <c r="P6">
        <v>5.25</v>
      </c>
      <c r="Q6">
        <v>1</v>
      </c>
      <c r="R6">
        <v>3</v>
      </c>
    </row>
    <row r="7" spans="1:29" x14ac:dyDescent="0.3">
      <c r="A7">
        <v>7</v>
      </c>
      <c r="B7">
        <v>81</v>
      </c>
      <c r="C7">
        <v>3</v>
      </c>
      <c r="D7">
        <v>1</v>
      </c>
      <c r="E7">
        <v>8.75</v>
      </c>
      <c r="F7">
        <v>5.625</v>
      </c>
      <c r="G7">
        <v>4.666666666666667</v>
      </c>
      <c r="H7">
        <v>7</v>
      </c>
      <c r="I7">
        <v>80</v>
      </c>
      <c r="J7">
        <v>4</v>
      </c>
      <c r="K7">
        <v>3</v>
      </c>
      <c r="L7">
        <f>L6</f>
        <v>159</v>
      </c>
      <c r="M7">
        <v>10.833333333333332</v>
      </c>
      <c r="N7">
        <v>5.25</v>
      </c>
      <c r="O7">
        <v>3.33</v>
      </c>
      <c r="P7">
        <v>3.33</v>
      </c>
      <c r="Q7">
        <v>0</v>
      </c>
      <c r="R7">
        <v>1</v>
      </c>
    </row>
    <row r="8" spans="1:29" x14ac:dyDescent="0.3">
      <c r="A8">
        <v>7</v>
      </c>
      <c r="B8">
        <v>3</v>
      </c>
      <c r="C8">
        <v>4</v>
      </c>
      <c r="D8">
        <v>3</v>
      </c>
      <c r="E8">
        <v>8.25</v>
      </c>
      <c r="F8">
        <v>7.375</v>
      </c>
      <c r="G8">
        <v>9.3333333333333339</v>
      </c>
      <c r="H8">
        <v>4</v>
      </c>
      <c r="I8">
        <v>73</v>
      </c>
      <c r="J8">
        <v>7</v>
      </c>
      <c r="K8">
        <v>4</v>
      </c>
      <c r="L8">
        <f t="shared" si="0"/>
        <v>115</v>
      </c>
      <c r="M8">
        <v>10.916666666666668</v>
      </c>
      <c r="N8">
        <v>8.5833333333333321</v>
      </c>
      <c r="O8">
        <v>4.4000000000000004</v>
      </c>
      <c r="P8">
        <v>3.75</v>
      </c>
      <c r="Q8">
        <v>2</v>
      </c>
      <c r="R8">
        <v>5</v>
      </c>
    </row>
    <row r="9" spans="1:29" x14ac:dyDescent="0.3">
      <c r="A9">
        <v>7</v>
      </c>
      <c r="B9">
        <v>6</v>
      </c>
      <c r="C9">
        <v>4</v>
      </c>
      <c r="D9">
        <v>3</v>
      </c>
      <c r="E9">
        <v>10.375</v>
      </c>
      <c r="F9">
        <v>8.5</v>
      </c>
      <c r="G9">
        <v>5.333333333333333</v>
      </c>
      <c r="H9">
        <v>6.333333333333333</v>
      </c>
      <c r="I9">
        <v>42</v>
      </c>
      <c r="J9">
        <v>8</v>
      </c>
      <c r="K9">
        <v>4</v>
      </c>
      <c r="L9">
        <f>L8</f>
        <v>115</v>
      </c>
      <c r="M9">
        <v>10.916666666666668</v>
      </c>
      <c r="N9">
        <v>8.5833333333333321</v>
      </c>
      <c r="O9">
        <v>17</v>
      </c>
      <c r="P9">
        <v>13</v>
      </c>
      <c r="Q9">
        <v>0</v>
      </c>
      <c r="R9">
        <v>0</v>
      </c>
    </row>
  </sheetData>
  <autoFilter ref="A1:AC9" xr:uid="{CF3927BF-0F17-4C07-82C8-1074E0E7481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370F-59EC-4E9A-8E6A-55CB542D067D}">
  <dimension ref="A1:U47"/>
  <sheetViews>
    <sheetView workbookViewId="0">
      <selection activeCell="O29" sqref="O29"/>
    </sheetView>
  </sheetViews>
  <sheetFormatPr defaultRowHeight="14.4" x14ac:dyDescent="0.3"/>
  <cols>
    <col min="1" max="1" width="11" bestFit="1" customWidth="1"/>
    <col min="4" max="4" width="11.33203125" bestFit="1" customWidth="1"/>
    <col min="5" max="5" width="11.77734375" bestFit="1" customWidth="1"/>
    <col min="6" max="6" width="8.88671875" customWidth="1"/>
    <col min="7" max="7" width="10.77734375" customWidth="1"/>
    <col min="8" max="8" width="8.77734375" customWidth="1"/>
    <col min="9" max="9" width="11.33203125" customWidth="1"/>
    <col min="10" max="10" width="12.21875" customWidth="1"/>
    <col min="11" max="11" width="12.88671875" customWidth="1"/>
    <col min="12" max="12" width="14.5546875" customWidth="1"/>
  </cols>
  <sheetData>
    <row r="1" spans="1:21" x14ac:dyDescent="0.3">
      <c r="A1" t="s">
        <v>25</v>
      </c>
      <c r="B1" t="s">
        <v>26</v>
      </c>
      <c r="D1" t="s">
        <v>38</v>
      </c>
      <c r="E1" t="s">
        <v>39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288</v>
      </c>
      <c r="N1" t="s">
        <v>290</v>
      </c>
      <c r="O1" t="s">
        <v>291</v>
      </c>
      <c r="P1" t="s">
        <v>140</v>
      </c>
      <c r="Q1" t="s">
        <v>141</v>
      </c>
      <c r="T1" t="s">
        <v>144</v>
      </c>
      <c r="U1" t="s">
        <v>26</v>
      </c>
    </row>
    <row r="2" spans="1:21" x14ac:dyDescent="0.3">
      <c r="A2">
        <v>1</v>
      </c>
      <c r="B2" t="s">
        <v>27</v>
      </c>
      <c r="D2">
        <v>63</v>
      </c>
      <c r="E2" t="s">
        <v>61</v>
      </c>
      <c r="F2">
        <v>1</v>
      </c>
      <c r="G2">
        <v>2</v>
      </c>
      <c r="H2">
        <v>4</v>
      </c>
      <c r="I2">
        <v>4</v>
      </c>
      <c r="J2">
        <v>19</v>
      </c>
      <c r="K2">
        <v>12</v>
      </c>
      <c r="L2">
        <v>2</v>
      </c>
      <c r="M2">
        <v>1</v>
      </c>
      <c r="N2">
        <f>SUM(F2:M2)/COUNT(F2:M2)</f>
        <v>5.625</v>
      </c>
      <c r="O2">
        <f>SUM(K2:M2)/COUNT(K2:M2)</f>
        <v>5</v>
      </c>
      <c r="P2">
        <v>1</v>
      </c>
      <c r="Q2" t="s">
        <v>27</v>
      </c>
      <c r="T2">
        <v>1</v>
      </c>
      <c r="U2" t="s">
        <v>151</v>
      </c>
    </row>
    <row r="3" spans="1:21" x14ac:dyDescent="0.3">
      <c r="A3">
        <v>2</v>
      </c>
      <c r="B3" t="s">
        <v>28</v>
      </c>
      <c r="D3">
        <v>12</v>
      </c>
      <c r="E3" t="s">
        <v>60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16</v>
      </c>
      <c r="M3">
        <v>3</v>
      </c>
      <c r="N3">
        <f t="shared" ref="N3:N47" si="0">SUM(F3:M3)/COUNT(F3:M3)</f>
        <v>3.25</v>
      </c>
      <c r="O3">
        <f t="shared" ref="O3:O47" si="1">SUM(K3:M3)/COUNT(K3:M3)</f>
        <v>6.666666666666667</v>
      </c>
      <c r="P3">
        <v>2</v>
      </c>
      <c r="Q3" t="s">
        <v>28</v>
      </c>
      <c r="T3">
        <v>2</v>
      </c>
      <c r="U3" t="s">
        <v>76</v>
      </c>
    </row>
    <row r="4" spans="1:21" x14ac:dyDescent="0.3">
      <c r="A4">
        <v>3</v>
      </c>
      <c r="B4" t="s">
        <v>29</v>
      </c>
      <c r="D4">
        <v>16</v>
      </c>
      <c r="E4" t="s">
        <v>59</v>
      </c>
      <c r="F4">
        <v>3</v>
      </c>
      <c r="G4">
        <v>4</v>
      </c>
      <c r="H4">
        <v>3</v>
      </c>
      <c r="I4">
        <v>8</v>
      </c>
      <c r="J4">
        <v>4</v>
      </c>
      <c r="K4">
        <v>17</v>
      </c>
      <c r="L4">
        <v>15</v>
      </c>
      <c r="M4">
        <v>8</v>
      </c>
      <c r="N4">
        <f t="shared" si="0"/>
        <v>7.75</v>
      </c>
      <c r="O4">
        <f t="shared" si="1"/>
        <v>13.333333333333334</v>
      </c>
      <c r="P4">
        <v>3</v>
      </c>
      <c r="Q4" t="s">
        <v>142</v>
      </c>
      <c r="T4">
        <v>3</v>
      </c>
      <c r="U4" t="s">
        <v>145</v>
      </c>
    </row>
    <row r="5" spans="1:21" x14ac:dyDescent="0.3">
      <c r="A5">
        <v>4</v>
      </c>
      <c r="B5" t="s">
        <v>30</v>
      </c>
      <c r="D5">
        <v>44</v>
      </c>
      <c r="E5" t="s">
        <v>58</v>
      </c>
      <c r="F5">
        <v>4</v>
      </c>
      <c r="G5">
        <v>3</v>
      </c>
      <c r="H5">
        <v>6</v>
      </c>
      <c r="I5">
        <v>6</v>
      </c>
      <c r="J5">
        <v>2</v>
      </c>
      <c r="K5">
        <v>2</v>
      </c>
      <c r="L5">
        <v>1</v>
      </c>
      <c r="M5">
        <v>5</v>
      </c>
      <c r="N5">
        <f t="shared" si="0"/>
        <v>3.625</v>
      </c>
      <c r="O5">
        <f t="shared" si="1"/>
        <v>2.6666666666666665</v>
      </c>
      <c r="P5">
        <v>4</v>
      </c>
      <c r="Q5" t="s">
        <v>35</v>
      </c>
      <c r="T5">
        <v>4</v>
      </c>
      <c r="U5" t="s">
        <v>146</v>
      </c>
    </row>
    <row r="6" spans="1:21" x14ac:dyDescent="0.3">
      <c r="A6">
        <v>5</v>
      </c>
      <c r="B6" t="s">
        <v>31</v>
      </c>
      <c r="D6">
        <v>4</v>
      </c>
      <c r="E6" t="s">
        <v>57</v>
      </c>
      <c r="F6">
        <v>5</v>
      </c>
      <c r="G6">
        <v>20</v>
      </c>
      <c r="H6">
        <v>5</v>
      </c>
      <c r="I6">
        <v>2</v>
      </c>
      <c r="J6">
        <v>18</v>
      </c>
      <c r="K6">
        <v>19</v>
      </c>
      <c r="L6">
        <v>3</v>
      </c>
      <c r="M6">
        <v>7</v>
      </c>
      <c r="N6">
        <f>SUM(F6:M6)/COUNT(F6:M6)</f>
        <v>9.875</v>
      </c>
      <c r="O6">
        <f>SUM(K6:M6)/COUNT(K6:M6)</f>
        <v>9.6666666666666661</v>
      </c>
      <c r="P6">
        <v>5</v>
      </c>
      <c r="Q6" t="s">
        <v>143</v>
      </c>
      <c r="T6">
        <v>5</v>
      </c>
      <c r="U6" t="s">
        <v>147</v>
      </c>
    </row>
    <row r="7" spans="1:21" x14ac:dyDescent="0.3">
      <c r="A7">
        <v>6</v>
      </c>
      <c r="B7" t="s">
        <v>32</v>
      </c>
      <c r="D7">
        <v>81</v>
      </c>
      <c r="E7" t="s">
        <v>56</v>
      </c>
      <c r="F7">
        <v>21</v>
      </c>
      <c r="G7">
        <v>19</v>
      </c>
      <c r="H7">
        <v>2</v>
      </c>
      <c r="I7">
        <v>3</v>
      </c>
      <c r="J7">
        <v>11</v>
      </c>
      <c r="K7">
        <v>5</v>
      </c>
      <c r="L7">
        <v>5</v>
      </c>
      <c r="M7">
        <v>4</v>
      </c>
      <c r="N7">
        <f t="shared" si="0"/>
        <v>8.75</v>
      </c>
      <c r="O7">
        <f t="shared" si="1"/>
        <v>4.666666666666667</v>
      </c>
      <c r="T7">
        <v>6</v>
      </c>
      <c r="U7" t="s">
        <v>148</v>
      </c>
    </row>
    <row r="8" spans="1:21" x14ac:dyDescent="0.3">
      <c r="A8">
        <v>7</v>
      </c>
      <c r="B8" t="s">
        <v>33</v>
      </c>
      <c r="D8">
        <v>3</v>
      </c>
      <c r="E8" t="s">
        <v>55</v>
      </c>
      <c r="F8">
        <v>6</v>
      </c>
      <c r="G8">
        <v>16</v>
      </c>
      <c r="H8">
        <v>8</v>
      </c>
      <c r="I8">
        <v>5</v>
      </c>
      <c r="J8">
        <v>3</v>
      </c>
      <c r="K8">
        <v>22</v>
      </c>
      <c r="L8">
        <v>4</v>
      </c>
      <c r="M8">
        <v>2</v>
      </c>
      <c r="N8">
        <f t="shared" si="0"/>
        <v>8.25</v>
      </c>
      <c r="O8">
        <f t="shared" si="1"/>
        <v>9.3333333333333339</v>
      </c>
      <c r="T8">
        <v>7</v>
      </c>
      <c r="U8" t="s">
        <v>149</v>
      </c>
    </row>
    <row r="9" spans="1:21" x14ac:dyDescent="0.3">
      <c r="A9">
        <v>8</v>
      </c>
      <c r="B9" t="s">
        <v>34</v>
      </c>
      <c r="D9">
        <v>6</v>
      </c>
      <c r="E9" t="s">
        <v>54</v>
      </c>
      <c r="F9">
        <v>20</v>
      </c>
      <c r="G9">
        <v>8</v>
      </c>
      <c r="H9">
        <v>12</v>
      </c>
      <c r="I9">
        <v>22</v>
      </c>
      <c r="J9">
        <v>5</v>
      </c>
      <c r="K9">
        <v>4</v>
      </c>
      <c r="L9">
        <v>6</v>
      </c>
      <c r="M9">
        <v>6</v>
      </c>
      <c r="N9">
        <f t="shared" si="0"/>
        <v>10.375</v>
      </c>
      <c r="O9">
        <f t="shared" si="1"/>
        <v>5.333333333333333</v>
      </c>
      <c r="T9">
        <v>8</v>
      </c>
      <c r="U9" t="s">
        <v>150</v>
      </c>
    </row>
    <row r="10" spans="1:21" x14ac:dyDescent="0.3">
      <c r="A10">
        <v>9</v>
      </c>
      <c r="B10" t="s">
        <v>35</v>
      </c>
      <c r="D10">
        <v>10</v>
      </c>
      <c r="E10" t="s">
        <v>53</v>
      </c>
      <c r="F10">
        <v>10</v>
      </c>
      <c r="G10">
        <v>6</v>
      </c>
      <c r="H10">
        <v>7</v>
      </c>
      <c r="I10">
        <v>21</v>
      </c>
      <c r="J10">
        <v>8</v>
      </c>
      <c r="K10">
        <v>3</v>
      </c>
      <c r="L10">
        <v>7</v>
      </c>
      <c r="M10">
        <v>13</v>
      </c>
      <c r="N10">
        <f t="shared" si="0"/>
        <v>9.375</v>
      </c>
      <c r="O10">
        <f t="shared" si="1"/>
        <v>7.666666666666667</v>
      </c>
      <c r="T10">
        <v>9</v>
      </c>
    </row>
    <row r="11" spans="1:21" x14ac:dyDescent="0.3">
      <c r="A11">
        <v>10</v>
      </c>
      <c r="B11" t="s">
        <v>36</v>
      </c>
      <c r="D11">
        <v>43</v>
      </c>
      <c r="E11" t="s">
        <v>52</v>
      </c>
      <c r="F11">
        <v>14</v>
      </c>
      <c r="G11">
        <v>10</v>
      </c>
      <c r="H11">
        <v>16</v>
      </c>
      <c r="I11">
        <v>7</v>
      </c>
      <c r="J11">
        <v>6</v>
      </c>
      <c r="K11">
        <v>14</v>
      </c>
      <c r="L11">
        <v>10</v>
      </c>
      <c r="M11">
        <v>15</v>
      </c>
      <c r="N11">
        <f t="shared" si="0"/>
        <v>11.5</v>
      </c>
      <c r="O11">
        <f t="shared" si="1"/>
        <v>13</v>
      </c>
    </row>
    <row r="12" spans="1:21" x14ac:dyDescent="0.3">
      <c r="A12">
        <v>11</v>
      </c>
      <c r="B12" t="s">
        <v>37</v>
      </c>
      <c r="D12">
        <v>30</v>
      </c>
      <c r="E12" t="s">
        <v>51</v>
      </c>
      <c r="F12">
        <v>13</v>
      </c>
      <c r="G12">
        <v>7</v>
      </c>
      <c r="H12">
        <v>9</v>
      </c>
      <c r="I12">
        <v>20</v>
      </c>
      <c r="J12">
        <v>7</v>
      </c>
      <c r="K12">
        <v>6</v>
      </c>
      <c r="L12">
        <v>8</v>
      </c>
      <c r="M12">
        <v>9</v>
      </c>
      <c r="N12">
        <f t="shared" si="0"/>
        <v>9.875</v>
      </c>
      <c r="O12">
        <f t="shared" si="1"/>
        <v>7.666666666666667</v>
      </c>
    </row>
    <row r="13" spans="1:21" x14ac:dyDescent="0.3">
      <c r="D13">
        <v>41</v>
      </c>
      <c r="E13" t="s">
        <v>50</v>
      </c>
      <c r="F13">
        <v>8</v>
      </c>
      <c r="G13">
        <v>12</v>
      </c>
      <c r="H13">
        <v>14</v>
      </c>
      <c r="I13">
        <v>14</v>
      </c>
      <c r="J13">
        <v>22</v>
      </c>
      <c r="K13">
        <v>7</v>
      </c>
      <c r="L13">
        <v>9</v>
      </c>
      <c r="M13">
        <v>10</v>
      </c>
      <c r="N13">
        <f t="shared" si="0"/>
        <v>12</v>
      </c>
      <c r="O13">
        <f t="shared" si="1"/>
        <v>8.6666666666666661</v>
      </c>
    </row>
    <row r="14" spans="1:21" x14ac:dyDescent="0.3">
      <c r="D14">
        <v>31</v>
      </c>
      <c r="E14" t="s">
        <v>49</v>
      </c>
      <c r="F14">
        <v>11</v>
      </c>
      <c r="G14">
        <v>14</v>
      </c>
      <c r="H14">
        <v>10</v>
      </c>
      <c r="I14">
        <v>13</v>
      </c>
      <c r="J14">
        <v>14</v>
      </c>
      <c r="K14">
        <v>9</v>
      </c>
      <c r="L14">
        <v>13</v>
      </c>
      <c r="M14">
        <v>16</v>
      </c>
      <c r="N14">
        <f t="shared" si="0"/>
        <v>12.5</v>
      </c>
      <c r="O14">
        <f t="shared" si="1"/>
        <v>12.666666666666666</v>
      </c>
    </row>
    <row r="15" spans="1:21" x14ac:dyDescent="0.3">
      <c r="D15">
        <v>87</v>
      </c>
      <c r="E15" t="s">
        <v>48</v>
      </c>
      <c r="F15">
        <v>7</v>
      </c>
      <c r="G15">
        <v>5</v>
      </c>
      <c r="H15">
        <v>22</v>
      </c>
      <c r="I15">
        <v>11</v>
      </c>
      <c r="J15">
        <v>10</v>
      </c>
      <c r="K15">
        <v>20</v>
      </c>
      <c r="L15">
        <v>17</v>
      </c>
      <c r="M15">
        <v>14</v>
      </c>
      <c r="N15">
        <f t="shared" si="0"/>
        <v>13.25</v>
      </c>
      <c r="O15">
        <f t="shared" si="1"/>
        <v>17</v>
      </c>
    </row>
    <row r="16" spans="1:21" x14ac:dyDescent="0.3">
      <c r="D16">
        <v>55</v>
      </c>
      <c r="E16" t="s">
        <v>47</v>
      </c>
      <c r="F16">
        <v>15</v>
      </c>
      <c r="G16">
        <v>9</v>
      </c>
      <c r="H16">
        <v>15</v>
      </c>
      <c r="I16">
        <v>9</v>
      </c>
      <c r="J16">
        <v>9</v>
      </c>
      <c r="K16">
        <v>16</v>
      </c>
      <c r="L16">
        <v>12</v>
      </c>
      <c r="M16">
        <v>20</v>
      </c>
      <c r="N16">
        <f t="shared" si="0"/>
        <v>13.125</v>
      </c>
      <c r="O16">
        <f t="shared" si="1"/>
        <v>16</v>
      </c>
    </row>
    <row r="17" spans="4:15" x14ac:dyDescent="0.3">
      <c r="D17">
        <v>23</v>
      </c>
      <c r="E17" t="s">
        <v>46</v>
      </c>
      <c r="F17">
        <v>12</v>
      </c>
      <c r="G17">
        <v>22</v>
      </c>
      <c r="H17">
        <v>20</v>
      </c>
      <c r="I17">
        <v>10</v>
      </c>
      <c r="J17">
        <v>21</v>
      </c>
      <c r="K17">
        <v>8</v>
      </c>
      <c r="L17">
        <v>18</v>
      </c>
      <c r="M17">
        <v>17</v>
      </c>
      <c r="N17">
        <f t="shared" si="0"/>
        <v>16</v>
      </c>
      <c r="O17">
        <f t="shared" si="1"/>
        <v>14.333333333333334</v>
      </c>
    </row>
    <row r="18" spans="4:15" x14ac:dyDescent="0.3">
      <c r="D18">
        <v>27</v>
      </c>
      <c r="E18" t="s">
        <v>45</v>
      </c>
      <c r="F18">
        <v>22</v>
      </c>
      <c r="G18">
        <v>11</v>
      </c>
      <c r="H18">
        <v>11</v>
      </c>
      <c r="I18">
        <v>19</v>
      </c>
      <c r="J18">
        <v>12</v>
      </c>
      <c r="K18">
        <v>13</v>
      </c>
      <c r="L18">
        <v>20</v>
      </c>
      <c r="M18">
        <v>12</v>
      </c>
      <c r="N18">
        <f t="shared" si="0"/>
        <v>15</v>
      </c>
      <c r="O18">
        <f t="shared" si="1"/>
        <v>15</v>
      </c>
    </row>
    <row r="19" spans="4:15" x14ac:dyDescent="0.3">
      <c r="D19">
        <v>5</v>
      </c>
      <c r="E19" t="s">
        <v>44</v>
      </c>
      <c r="F19">
        <v>9</v>
      </c>
      <c r="G19">
        <v>21</v>
      </c>
      <c r="H19">
        <v>13</v>
      </c>
      <c r="I19">
        <v>12</v>
      </c>
      <c r="J19">
        <v>13</v>
      </c>
      <c r="K19">
        <v>11</v>
      </c>
      <c r="L19">
        <v>11</v>
      </c>
      <c r="M19">
        <v>11</v>
      </c>
      <c r="N19">
        <f t="shared" si="0"/>
        <v>12.625</v>
      </c>
      <c r="O19">
        <f t="shared" si="1"/>
        <v>11</v>
      </c>
    </row>
    <row r="20" spans="4:15" x14ac:dyDescent="0.3">
      <c r="D20">
        <v>14</v>
      </c>
      <c r="E20" t="s">
        <v>43</v>
      </c>
      <c r="F20">
        <v>18</v>
      </c>
      <c r="G20">
        <v>17</v>
      </c>
      <c r="H20">
        <v>18</v>
      </c>
      <c r="I20">
        <v>15</v>
      </c>
      <c r="J20">
        <v>20</v>
      </c>
      <c r="K20">
        <v>10</v>
      </c>
      <c r="L20">
        <v>19</v>
      </c>
      <c r="M20">
        <v>18</v>
      </c>
      <c r="N20">
        <f t="shared" si="0"/>
        <v>16.875</v>
      </c>
      <c r="O20">
        <f t="shared" si="1"/>
        <v>15.666666666666666</v>
      </c>
    </row>
    <row r="21" spans="4:15" x14ac:dyDescent="0.3">
      <c r="D21">
        <v>18</v>
      </c>
      <c r="E21" t="s">
        <v>42</v>
      </c>
      <c r="F21">
        <v>17</v>
      </c>
      <c r="G21">
        <v>18</v>
      </c>
      <c r="H21">
        <v>21</v>
      </c>
      <c r="I21">
        <v>17</v>
      </c>
      <c r="J21">
        <v>15</v>
      </c>
      <c r="K21">
        <v>18</v>
      </c>
      <c r="L21">
        <v>22</v>
      </c>
      <c r="M21">
        <v>19</v>
      </c>
      <c r="N21">
        <f t="shared" si="0"/>
        <v>18.375</v>
      </c>
      <c r="O21">
        <f t="shared" si="1"/>
        <v>19.666666666666668</v>
      </c>
    </row>
    <row r="22" spans="4:15" x14ac:dyDescent="0.3">
      <c r="D22">
        <v>11</v>
      </c>
      <c r="E22" t="s">
        <v>41</v>
      </c>
      <c r="F22">
        <v>16</v>
      </c>
      <c r="G22">
        <v>15</v>
      </c>
      <c r="H22">
        <v>17</v>
      </c>
      <c r="I22">
        <v>16</v>
      </c>
      <c r="J22">
        <v>17</v>
      </c>
      <c r="K22">
        <v>15</v>
      </c>
      <c r="L22">
        <v>14</v>
      </c>
      <c r="M22">
        <v>21</v>
      </c>
      <c r="N22">
        <f t="shared" si="0"/>
        <v>16.375</v>
      </c>
      <c r="O22">
        <f t="shared" si="1"/>
        <v>16.666666666666668</v>
      </c>
    </row>
    <row r="23" spans="4:15" x14ac:dyDescent="0.3">
      <c r="D23">
        <v>77</v>
      </c>
      <c r="E23" t="s">
        <v>40</v>
      </c>
      <c r="F23">
        <v>19</v>
      </c>
      <c r="G23">
        <v>13</v>
      </c>
      <c r="H23">
        <v>19</v>
      </c>
      <c r="I23">
        <v>18</v>
      </c>
      <c r="J23">
        <v>16</v>
      </c>
      <c r="K23">
        <v>21</v>
      </c>
      <c r="L23">
        <v>21</v>
      </c>
      <c r="M23">
        <v>22</v>
      </c>
      <c r="N23">
        <f t="shared" si="0"/>
        <v>18.625</v>
      </c>
      <c r="O23">
        <f t="shared" si="1"/>
        <v>21.333333333333332</v>
      </c>
    </row>
    <row r="25" spans="4:15" x14ac:dyDescent="0.3">
      <c r="D25" t="s">
        <v>38</v>
      </c>
      <c r="E25" t="s">
        <v>39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289</v>
      </c>
      <c r="N25" t="s">
        <v>290</v>
      </c>
      <c r="O25" t="s">
        <v>291</v>
      </c>
    </row>
    <row r="26" spans="4:15" x14ac:dyDescent="0.3">
      <c r="D26">
        <v>63</v>
      </c>
      <c r="E26" t="s">
        <v>61</v>
      </c>
      <c r="F26">
        <v>1</v>
      </c>
      <c r="G26">
        <v>2</v>
      </c>
      <c r="H26">
        <v>2</v>
      </c>
      <c r="I26">
        <v>5</v>
      </c>
      <c r="J26">
        <v>1</v>
      </c>
      <c r="K26">
        <v>6</v>
      </c>
      <c r="L26">
        <v>1</v>
      </c>
      <c r="M26">
        <v>1</v>
      </c>
      <c r="N26">
        <f t="shared" si="0"/>
        <v>2.375</v>
      </c>
      <c r="O26">
        <f t="shared" si="1"/>
        <v>2.6666666666666665</v>
      </c>
    </row>
    <row r="27" spans="4:15" x14ac:dyDescent="0.3">
      <c r="D27">
        <v>12</v>
      </c>
      <c r="E27" t="s">
        <v>60</v>
      </c>
      <c r="F27">
        <v>2</v>
      </c>
      <c r="G27">
        <v>1</v>
      </c>
      <c r="H27">
        <v>1</v>
      </c>
      <c r="I27">
        <v>1</v>
      </c>
      <c r="J27">
        <v>2</v>
      </c>
      <c r="K27">
        <v>1</v>
      </c>
      <c r="L27">
        <v>3</v>
      </c>
      <c r="M27">
        <v>4</v>
      </c>
      <c r="N27">
        <f t="shared" si="0"/>
        <v>1.875</v>
      </c>
      <c r="O27">
        <f t="shared" si="1"/>
        <v>2.6666666666666665</v>
      </c>
    </row>
    <row r="28" spans="4:15" x14ac:dyDescent="0.3">
      <c r="D28">
        <v>16</v>
      </c>
      <c r="E28" t="s">
        <v>59</v>
      </c>
      <c r="F28">
        <v>4</v>
      </c>
      <c r="G28">
        <v>4</v>
      </c>
      <c r="H28">
        <v>4</v>
      </c>
      <c r="I28">
        <v>3</v>
      </c>
      <c r="J28">
        <v>8</v>
      </c>
      <c r="K28">
        <v>4</v>
      </c>
      <c r="L28">
        <v>10</v>
      </c>
      <c r="M28">
        <v>2</v>
      </c>
      <c r="N28">
        <f t="shared" si="0"/>
        <v>4.875</v>
      </c>
      <c r="O28">
        <f t="shared" si="1"/>
        <v>5.333333333333333</v>
      </c>
    </row>
    <row r="29" spans="4:15" x14ac:dyDescent="0.3">
      <c r="D29">
        <v>44</v>
      </c>
      <c r="E29" t="s">
        <v>58</v>
      </c>
      <c r="F29">
        <v>7</v>
      </c>
      <c r="G29">
        <v>3</v>
      </c>
      <c r="H29">
        <v>6</v>
      </c>
      <c r="I29">
        <v>6</v>
      </c>
      <c r="J29">
        <v>5</v>
      </c>
      <c r="K29">
        <v>3</v>
      </c>
      <c r="L29">
        <v>2</v>
      </c>
      <c r="M29">
        <v>3</v>
      </c>
      <c r="N29">
        <f t="shared" si="0"/>
        <v>4.375</v>
      </c>
      <c r="O29">
        <f t="shared" si="1"/>
        <v>2.6666666666666665</v>
      </c>
    </row>
    <row r="30" spans="4:15" x14ac:dyDescent="0.3">
      <c r="D30">
        <v>4</v>
      </c>
      <c r="E30" t="s">
        <v>57</v>
      </c>
      <c r="F30">
        <v>6</v>
      </c>
      <c r="G30">
        <v>6</v>
      </c>
      <c r="H30">
        <v>5</v>
      </c>
      <c r="I30">
        <v>4</v>
      </c>
      <c r="J30">
        <v>3</v>
      </c>
      <c r="K30">
        <v>8</v>
      </c>
      <c r="L30">
        <v>4</v>
      </c>
      <c r="M30">
        <v>6</v>
      </c>
      <c r="N30">
        <f t="shared" si="0"/>
        <v>5.25</v>
      </c>
      <c r="O30">
        <f t="shared" si="1"/>
        <v>6</v>
      </c>
    </row>
    <row r="31" spans="4:15" x14ac:dyDescent="0.3">
      <c r="D31">
        <v>81</v>
      </c>
      <c r="E31" t="s">
        <v>56</v>
      </c>
      <c r="F31">
        <v>5</v>
      </c>
      <c r="G31">
        <v>5</v>
      </c>
      <c r="H31">
        <v>3</v>
      </c>
      <c r="I31">
        <v>7</v>
      </c>
      <c r="J31">
        <v>4</v>
      </c>
      <c r="K31">
        <v>7</v>
      </c>
      <c r="L31">
        <v>7</v>
      </c>
      <c r="M31">
        <v>7</v>
      </c>
      <c r="N31">
        <f t="shared" si="0"/>
        <v>5.625</v>
      </c>
      <c r="O31">
        <f t="shared" si="1"/>
        <v>7</v>
      </c>
    </row>
    <row r="32" spans="4:15" x14ac:dyDescent="0.3">
      <c r="D32">
        <v>3</v>
      </c>
      <c r="E32" t="s">
        <v>55</v>
      </c>
      <c r="F32">
        <v>20</v>
      </c>
      <c r="G32">
        <v>8</v>
      </c>
      <c r="H32">
        <v>11</v>
      </c>
      <c r="I32">
        <v>2</v>
      </c>
      <c r="J32">
        <v>6</v>
      </c>
      <c r="K32">
        <v>2</v>
      </c>
      <c r="L32">
        <v>5</v>
      </c>
      <c r="M32">
        <v>5</v>
      </c>
      <c r="N32">
        <f t="shared" si="0"/>
        <v>7.375</v>
      </c>
      <c r="O32">
        <f t="shared" si="1"/>
        <v>4</v>
      </c>
    </row>
    <row r="33" spans="4:15" x14ac:dyDescent="0.3">
      <c r="D33">
        <v>6</v>
      </c>
      <c r="E33" t="s">
        <v>54</v>
      </c>
      <c r="F33">
        <v>3</v>
      </c>
      <c r="G33">
        <v>9</v>
      </c>
      <c r="H33">
        <v>8</v>
      </c>
      <c r="I33">
        <v>22</v>
      </c>
      <c r="J33">
        <v>7</v>
      </c>
      <c r="K33">
        <v>5</v>
      </c>
      <c r="L33">
        <v>6</v>
      </c>
      <c r="M33">
        <v>8</v>
      </c>
      <c r="N33">
        <f t="shared" si="0"/>
        <v>8.5</v>
      </c>
      <c r="O33">
        <f t="shared" si="1"/>
        <v>6.333333333333333</v>
      </c>
    </row>
    <row r="34" spans="4:15" x14ac:dyDescent="0.3">
      <c r="D34">
        <v>10</v>
      </c>
      <c r="E34" t="s">
        <v>53</v>
      </c>
      <c r="F34">
        <v>14</v>
      </c>
      <c r="G34">
        <v>7</v>
      </c>
      <c r="H34">
        <v>7</v>
      </c>
      <c r="I34">
        <v>9</v>
      </c>
      <c r="J34">
        <v>14</v>
      </c>
      <c r="K34">
        <v>9</v>
      </c>
      <c r="L34">
        <v>14</v>
      </c>
      <c r="M34">
        <v>11</v>
      </c>
      <c r="N34">
        <f t="shared" si="0"/>
        <v>10.625</v>
      </c>
      <c r="O34">
        <f t="shared" si="1"/>
        <v>11.333333333333334</v>
      </c>
    </row>
    <row r="35" spans="4:15" x14ac:dyDescent="0.3">
      <c r="D35">
        <v>43</v>
      </c>
      <c r="E35" t="s">
        <v>52</v>
      </c>
      <c r="F35">
        <v>16</v>
      </c>
      <c r="G35">
        <v>12</v>
      </c>
      <c r="H35">
        <v>15</v>
      </c>
      <c r="I35">
        <v>8</v>
      </c>
      <c r="J35">
        <v>10</v>
      </c>
      <c r="K35">
        <v>14</v>
      </c>
      <c r="L35">
        <v>13</v>
      </c>
      <c r="M35">
        <v>16</v>
      </c>
      <c r="N35">
        <f t="shared" si="0"/>
        <v>13</v>
      </c>
      <c r="O35">
        <f t="shared" si="1"/>
        <v>14.333333333333334</v>
      </c>
    </row>
    <row r="36" spans="4:15" x14ac:dyDescent="0.3">
      <c r="D36">
        <v>30</v>
      </c>
      <c r="E36" t="s">
        <v>51</v>
      </c>
      <c r="F36">
        <v>8</v>
      </c>
      <c r="G36">
        <v>14</v>
      </c>
      <c r="H36">
        <v>14</v>
      </c>
      <c r="I36">
        <v>11</v>
      </c>
      <c r="J36">
        <v>12</v>
      </c>
      <c r="K36">
        <v>10</v>
      </c>
      <c r="L36">
        <v>8</v>
      </c>
      <c r="M36">
        <v>9</v>
      </c>
      <c r="N36">
        <f t="shared" si="0"/>
        <v>10.75</v>
      </c>
      <c r="O36">
        <f t="shared" si="1"/>
        <v>9</v>
      </c>
    </row>
    <row r="37" spans="4:15" x14ac:dyDescent="0.3">
      <c r="D37">
        <v>41</v>
      </c>
      <c r="E37" t="s">
        <v>50</v>
      </c>
      <c r="F37">
        <v>9</v>
      </c>
      <c r="G37">
        <v>15</v>
      </c>
      <c r="H37">
        <v>10</v>
      </c>
      <c r="I37">
        <v>16</v>
      </c>
      <c r="J37">
        <v>9</v>
      </c>
      <c r="K37">
        <v>15</v>
      </c>
      <c r="L37">
        <v>11</v>
      </c>
      <c r="M37">
        <v>10</v>
      </c>
      <c r="N37">
        <f t="shared" si="0"/>
        <v>11.875</v>
      </c>
      <c r="O37">
        <f t="shared" si="1"/>
        <v>12</v>
      </c>
    </row>
    <row r="38" spans="4:15" x14ac:dyDescent="0.3">
      <c r="D38">
        <v>31</v>
      </c>
      <c r="E38" t="s">
        <v>49</v>
      </c>
      <c r="F38">
        <v>13</v>
      </c>
      <c r="G38">
        <v>13</v>
      </c>
      <c r="H38">
        <v>12</v>
      </c>
      <c r="I38">
        <v>14</v>
      </c>
      <c r="J38">
        <v>17</v>
      </c>
      <c r="K38">
        <v>17</v>
      </c>
      <c r="L38">
        <v>17</v>
      </c>
      <c r="M38">
        <v>15</v>
      </c>
      <c r="N38">
        <f t="shared" si="0"/>
        <v>14.75</v>
      </c>
      <c r="O38">
        <f t="shared" si="1"/>
        <v>16.333333333333332</v>
      </c>
    </row>
    <row r="39" spans="4:15" x14ac:dyDescent="0.3">
      <c r="D39">
        <v>87</v>
      </c>
      <c r="E39" t="s">
        <v>48</v>
      </c>
      <c r="F39">
        <v>12</v>
      </c>
      <c r="G39">
        <v>10</v>
      </c>
      <c r="H39">
        <v>18</v>
      </c>
      <c r="I39">
        <v>12</v>
      </c>
      <c r="J39">
        <v>16</v>
      </c>
      <c r="K39">
        <v>19</v>
      </c>
      <c r="L39">
        <v>15</v>
      </c>
      <c r="M39">
        <v>13</v>
      </c>
      <c r="N39">
        <f t="shared" si="0"/>
        <v>14.375</v>
      </c>
      <c r="O39">
        <f t="shared" si="1"/>
        <v>15.666666666666666</v>
      </c>
    </row>
    <row r="40" spans="4:15" x14ac:dyDescent="0.3">
      <c r="D40">
        <v>55</v>
      </c>
      <c r="E40" t="s">
        <v>47</v>
      </c>
      <c r="F40">
        <v>21</v>
      </c>
      <c r="G40">
        <v>17</v>
      </c>
      <c r="H40">
        <v>16</v>
      </c>
      <c r="I40">
        <v>13</v>
      </c>
      <c r="J40">
        <v>15</v>
      </c>
      <c r="K40">
        <v>12</v>
      </c>
      <c r="L40">
        <v>16</v>
      </c>
      <c r="M40">
        <v>17</v>
      </c>
      <c r="N40">
        <f t="shared" si="0"/>
        <v>15.875</v>
      </c>
      <c r="O40">
        <f t="shared" si="1"/>
        <v>15</v>
      </c>
    </row>
    <row r="41" spans="4:15" x14ac:dyDescent="0.3">
      <c r="D41">
        <v>23</v>
      </c>
      <c r="E41" t="s">
        <v>46</v>
      </c>
      <c r="F41">
        <v>15</v>
      </c>
      <c r="G41">
        <v>18</v>
      </c>
      <c r="H41">
        <v>17</v>
      </c>
      <c r="I41">
        <v>15</v>
      </c>
      <c r="J41">
        <v>18</v>
      </c>
      <c r="K41">
        <v>11</v>
      </c>
      <c r="L41">
        <v>18</v>
      </c>
      <c r="M41">
        <v>18</v>
      </c>
      <c r="N41">
        <f t="shared" si="0"/>
        <v>16.25</v>
      </c>
      <c r="O41">
        <f t="shared" si="1"/>
        <v>15.666666666666666</v>
      </c>
    </row>
    <row r="42" spans="4:15" x14ac:dyDescent="0.3">
      <c r="D42">
        <v>27</v>
      </c>
      <c r="E42" t="s">
        <v>45</v>
      </c>
      <c r="F42">
        <v>11</v>
      </c>
      <c r="G42">
        <v>11</v>
      </c>
      <c r="H42">
        <v>13</v>
      </c>
      <c r="I42">
        <v>10</v>
      </c>
      <c r="J42">
        <v>11</v>
      </c>
      <c r="K42">
        <v>13</v>
      </c>
      <c r="L42">
        <v>9</v>
      </c>
      <c r="M42">
        <v>14</v>
      </c>
      <c r="N42">
        <f t="shared" si="0"/>
        <v>11.5</v>
      </c>
      <c r="O42">
        <f t="shared" si="1"/>
        <v>12</v>
      </c>
    </row>
    <row r="43" spans="4:15" x14ac:dyDescent="0.3">
      <c r="D43">
        <v>5</v>
      </c>
      <c r="E43" t="s">
        <v>44</v>
      </c>
      <c r="F43">
        <v>10</v>
      </c>
      <c r="G43">
        <v>16</v>
      </c>
      <c r="H43">
        <v>9</v>
      </c>
      <c r="I43">
        <v>21</v>
      </c>
      <c r="J43">
        <v>13</v>
      </c>
      <c r="K43">
        <v>16</v>
      </c>
      <c r="L43">
        <v>12</v>
      </c>
      <c r="M43">
        <v>12</v>
      </c>
      <c r="N43">
        <f t="shared" si="0"/>
        <v>13.625</v>
      </c>
      <c r="O43">
        <f t="shared" si="1"/>
        <v>13.333333333333334</v>
      </c>
    </row>
    <row r="44" spans="4:15" x14ac:dyDescent="0.3">
      <c r="D44">
        <v>14</v>
      </c>
      <c r="E44" t="s">
        <v>43</v>
      </c>
      <c r="F44">
        <v>17</v>
      </c>
      <c r="G44">
        <v>19</v>
      </c>
      <c r="H44">
        <v>21</v>
      </c>
      <c r="I44">
        <v>17</v>
      </c>
      <c r="J44">
        <v>19</v>
      </c>
      <c r="K44">
        <v>21</v>
      </c>
      <c r="L44">
        <v>22</v>
      </c>
      <c r="M44">
        <v>21</v>
      </c>
      <c r="N44">
        <f t="shared" si="0"/>
        <v>19.625</v>
      </c>
      <c r="O44">
        <f t="shared" si="1"/>
        <v>21.333333333333332</v>
      </c>
    </row>
    <row r="45" spans="4:15" x14ac:dyDescent="0.3">
      <c r="D45">
        <v>18</v>
      </c>
      <c r="E45" t="s">
        <v>42</v>
      </c>
      <c r="F45">
        <v>22</v>
      </c>
      <c r="G45">
        <v>21</v>
      </c>
      <c r="H45">
        <v>22</v>
      </c>
      <c r="I45">
        <v>18</v>
      </c>
      <c r="J45">
        <v>22</v>
      </c>
      <c r="K45">
        <v>22</v>
      </c>
      <c r="L45">
        <v>21</v>
      </c>
      <c r="M45">
        <v>22</v>
      </c>
      <c r="N45">
        <f t="shared" si="0"/>
        <v>21.25</v>
      </c>
      <c r="O45">
        <f t="shared" si="1"/>
        <v>21.666666666666668</v>
      </c>
    </row>
    <row r="46" spans="4:15" x14ac:dyDescent="0.3">
      <c r="D46">
        <v>11</v>
      </c>
      <c r="E46" t="s">
        <v>41</v>
      </c>
      <c r="F46">
        <v>18</v>
      </c>
      <c r="G46">
        <v>22</v>
      </c>
      <c r="H46">
        <v>19</v>
      </c>
      <c r="I46">
        <v>20</v>
      </c>
      <c r="J46">
        <v>20</v>
      </c>
      <c r="K46">
        <v>18</v>
      </c>
      <c r="L46">
        <v>19</v>
      </c>
      <c r="M46">
        <v>19</v>
      </c>
      <c r="N46">
        <f t="shared" si="0"/>
        <v>19.375</v>
      </c>
      <c r="O46">
        <f t="shared" si="1"/>
        <v>18.666666666666668</v>
      </c>
    </row>
    <row r="47" spans="4:15" x14ac:dyDescent="0.3">
      <c r="D47">
        <v>77</v>
      </c>
      <c r="E47" t="s">
        <v>40</v>
      </c>
      <c r="F47">
        <v>19</v>
      </c>
      <c r="G47">
        <v>20</v>
      </c>
      <c r="H47">
        <v>20</v>
      </c>
      <c r="I47">
        <v>19</v>
      </c>
      <c r="J47">
        <v>21</v>
      </c>
      <c r="K47">
        <v>20</v>
      </c>
      <c r="L47">
        <v>20</v>
      </c>
      <c r="M47">
        <v>20</v>
      </c>
      <c r="N47">
        <f t="shared" si="0"/>
        <v>19.875</v>
      </c>
      <c r="O47">
        <f t="shared" si="1"/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0D008-FED3-456B-BB62-592E47D4DD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Round Data</vt:lpstr>
      <vt:lpstr>train</vt:lpstr>
      <vt:lpstr>test</vt:lpstr>
      <vt:lpstr>code &amp; 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DEEPTMURTY</dc:creator>
  <cp:lastModifiedBy>VAIBHAV DEEPTMURTY</cp:lastModifiedBy>
  <dcterms:created xsi:type="dcterms:W3CDTF">2015-06-05T18:17:20Z</dcterms:created>
  <dcterms:modified xsi:type="dcterms:W3CDTF">2026-07-01T13:23:43Z</dcterms:modified>
</cp:coreProperties>
</file>